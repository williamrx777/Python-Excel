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uporte-TI\Desktop\Python Excel\"/>
    </mc:Choice>
  </mc:AlternateContent>
  <xr:revisionPtr revIDLastSave="0" documentId="13_ncr:1_{AF43A9F7-89F4-4993-A05A-E9434FCFA8FC}" xr6:coauthVersionLast="47" xr6:coauthVersionMax="47" xr10:uidLastSave="{00000000-0000-0000-0000-000000000000}"/>
  <bookViews>
    <workbookView xWindow="-120" yWindow="-120" windowWidth="20730" windowHeight="11040" tabRatio="825" xr2:uid="{00000000-000D-0000-FFFF-FFFF00000000}"/>
  </bookViews>
  <sheets>
    <sheet name="INVENTÁRIO PC" sheetId="1" r:id="rId1"/>
    <sheet name="VOIP" sheetId="37" r:id="rId2"/>
    <sheet name="NOVOS PONTOS" sheetId="36" r:id="rId3"/>
    <sheet name="WHATSAPP" sheetId="31" r:id="rId4"/>
    <sheet name="CELULARES CLARO" sheetId="32" r:id="rId5"/>
    <sheet name="TONER" sheetId="27" r:id="rId6"/>
    <sheet name="Planilha1" sheetId="15" state="hidden" r:id="rId7"/>
    <sheet name="IP's" sheetId="5" r:id="rId8"/>
    <sheet name="IP's - 2" sheetId="39" r:id="rId9"/>
    <sheet name="Planilha4" sheetId="41" r:id="rId10"/>
    <sheet name="IMPRESSORAS" sheetId="28" r:id="rId11"/>
    <sheet name="OFFICE LICENÇAS" sheetId="18" r:id="rId12"/>
    <sheet name="E-MAILS" sheetId="10" r:id="rId13"/>
    <sheet name="CHECKLIST TI" sheetId="38" r:id="rId14"/>
  </sheets>
  <definedNames>
    <definedName name="_xlnm._FilterDatabase" localSheetId="4" hidden="1">'CELULARES CLARO'!$B$1:$H$21</definedName>
    <definedName name="_xlnm._FilterDatabase" localSheetId="10" hidden="1">IMPRESSORAS!$A$2:$Q$41</definedName>
    <definedName name="_xlnm._FilterDatabase" localSheetId="0" hidden="1">'INVENTÁRIO PC'!$A$2:$AH$150</definedName>
    <definedName name="_xlnm._FilterDatabase" localSheetId="7" hidden="1">'IP''s'!$B$2:$C$251</definedName>
    <definedName name="_xlnm._FilterDatabase" localSheetId="2" hidden="1">'NOVOS PONTOS'!$A$1:$O$58</definedName>
    <definedName name="_xlnm._FilterDatabase" localSheetId="11" hidden="1">'OFFICE LICENÇAS'!$C$11:$L$106</definedName>
    <definedName name="_xlnm._FilterDatabase" localSheetId="9" hidden="1">Planilha4!$A$1:$K$137</definedName>
    <definedName name="_xlnm._FilterDatabase" localSheetId="5" hidden="1">TONER!$A$1:$H$1</definedName>
    <definedName name="_xlnm._FilterDatabase" localSheetId="1" hidden="1">VOIP!$A$1:$J$53</definedName>
  </definedNames>
  <calcPr calcId="191029"/>
</workbook>
</file>

<file path=xl/calcChain.xml><?xml version="1.0" encoding="utf-8"?>
<calcChain xmlns="http://schemas.openxmlformats.org/spreadsheetml/2006/main">
  <c r="C49" i="1" l="1"/>
  <c r="AH77" i="1"/>
  <c r="C77" i="1"/>
  <c r="C87" i="1"/>
  <c r="C36" i="1"/>
  <c r="C240" i="39"/>
  <c r="C3" i="39"/>
  <c r="C80" i="1"/>
  <c r="C24" i="1"/>
  <c r="AH29" i="1"/>
  <c r="C28" i="1"/>
  <c r="AH25" i="1"/>
  <c r="AH23" i="1"/>
  <c r="AH22" i="1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B11" i="18"/>
  <c r="I8" i="27"/>
  <c r="I7" i="27"/>
  <c r="I6" i="27"/>
  <c r="I5" i="27"/>
  <c r="I4" i="27"/>
  <c r="I3" i="27"/>
  <c r="C93" i="1"/>
  <c r="C92" i="1"/>
  <c r="C91" i="1"/>
  <c r="C88" i="1"/>
  <c r="C84" i="1"/>
  <c r="C86" i="1"/>
  <c r="C85" i="1"/>
  <c r="C82" i="1"/>
  <c r="C81" i="1"/>
  <c r="C79" i="1"/>
  <c r="C78" i="1"/>
  <c r="C76" i="1"/>
  <c r="C75" i="1"/>
  <c r="C74" i="1"/>
  <c r="C72" i="1"/>
  <c r="C69" i="1"/>
  <c r="C68" i="1"/>
  <c r="C67" i="1"/>
  <c r="C66" i="1"/>
  <c r="C65" i="1"/>
  <c r="C64" i="1"/>
  <c r="C63" i="1"/>
  <c r="C62" i="1"/>
  <c r="C61" i="1"/>
  <c r="C60" i="1"/>
  <c r="C59" i="1"/>
  <c r="C57" i="1"/>
  <c r="C56" i="1"/>
  <c r="C55" i="1"/>
  <c r="C54" i="1"/>
  <c r="C53" i="1"/>
  <c r="C52" i="1"/>
  <c r="C51" i="1"/>
  <c r="C50" i="1"/>
  <c r="C48" i="1"/>
  <c r="C47" i="1"/>
  <c r="C46" i="1"/>
  <c r="C45" i="1"/>
  <c r="C44" i="1"/>
  <c r="C43" i="1"/>
  <c r="C16" i="1"/>
  <c r="C42" i="1"/>
  <c r="C58" i="1"/>
  <c r="C39" i="1"/>
  <c r="C38" i="1"/>
  <c r="C37" i="1"/>
  <c r="C35" i="1"/>
  <c r="C34" i="1"/>
  <c r="C33" i="1"/>
  <c r="C32" i="1"/>
  <c r="C31" i="1"/>
  <c r="C30" i="1"/>
  <c r="C29" i="1"/>
  <c r="C27" i="1"/>
  <c r="C25" i="1"/>
  <c r="C23" i="1"/>
  <c r="C21" i="1"/>
  <c r="C20" i="1"/>
  <c r="C19" i="1"/>
  <c r="C18" i="1"/>
  <c r="C15" i="1"/>
  <c r="C14" i="1"/>
  <c r="C13" i="1"/>
  <c r="C12" i="1"/>
  <c r="C11" i="1"/>
  <c r="C10" i="1"/>
  <c r="C9" i="1"/>
  <c r="C8" i="1"/>
  <c r="C7" i="1"/>
  <c r="C6" i="1"/>
  <c r="C5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AA2" authorId="0" shapeId="0" xr:uid="{4288A42F-6E5A-43CE-9C3E-D711735E55C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M3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
LICENÇA ANTERIOR ENCONTRADA NO HD ANTIGO 
( RDVP8-C7W26-X6PQ3-X82CP-88RMM ) OFFICE BASIC 2007</t>
        </r>
      </text>
    </comment>
    <comment ref="K4" authorId="0" shapeId="0" xr:uid="{E1B8CD65-B889-4BAD-9D98-393BC3A21F9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ETIQUETA SERIAL WINDOWS VISTA BUSINESS
GK733-VW2DW-KKHF7-RVVXY-638DH</t>
        </r>
      </text>
    </comment>
    <comment ref="R4" authorId="0" shapeId="0" xr:uid="{A765717F-E66F-4D1C-866D-8A88167909A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L5" authorId="1" shapeId="0" xr:uid="{00000000-0006-0000-0000-000010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VERIFICAR A VERSÃO</t>
        </r>
      </text>
    </comment>
    <comment ref="O5" authorId="0" shapeId="0" xr:uid="{6C61AD55-7D1D-4BC7-A874-9E164072349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P5" authorId="0" shapeId="0" xr:uid="{47F4A331-8FB7-497F-B31B-918D2492183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W5" authorId="0" shapeId="0" xr:uid="{2FCB9D89-AE8B-4697-99F1-F9B198AAD7C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TELL SEPARAÇÃO TROCADO EM 2022</t>
        </r>
      </text>
    </comment>
    <comment ref="AF5" authorId="0" shapeId="0" xr:uid="{007220E0-6CDF-4161-85CF-4D5FF3B411E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W6" authorId="0" shapeId="0" xr:uid="{7FCFDB02-57E3-4BB3-952B-3B9C853E9EF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CARLOS RENE - SUBSTITUIDO POR NOVO EM 07/2022</t>
        </r>
      </text>
    </comment>
    <comment ref="W7" authorId="0" shapeId="0" xr:uid="{721B34C3-3AE1-44D1-845F-CC6C6468841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HÉLIO - SUBSTITUIDO POR NOVO EM 07/2022</t>
        </r>
      </text>
    </comment>
    <comment ref="W8" authorId="0" shapeId="0" xr:uid="{2B53F558-A82C-4EC1-A14D-40546F42ED7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FELIPE - SUBSTITUIDO POR NOVO EM 07/2022</t>
        </r>
      </text>
    </comment>
    <comment ref="D9" authorId="0" shapeId="0" xr:uid="{F12CB7E2-1351-4553-A389-52E1ADD73E8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ANTIGO DO BALCÃO</t>
        </r>
      </text>
    </comment>
    <comment ref="K9" authorId="0" shapeId="0" xr:uid="{11778261-AC96-4FEA-B0B6-851F73F29C4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b/>
            <sz val="9"/>
            <color indexed="81"/>
            <rFont val="Arial"/>
            <family val="2"/>
          </rPr>
          <t>WINDOWS VISTA OEM BUSINESS SP1 (firmware)
368Y7-49YMQ-VRCTY-3V3RH-WRMG7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WINDOWS XP
XJM6Q-BQ8HW-T6DFB-Y934T-YD4YT
VK7JG-NPHTM-C97JM-9MPGT-3V66T  ???</t>
        </r>
      </text>
    </comment>
    <comment ref="L9" authorId="1" shapeId="0" xr:uid="{00000000-0006-0000-0000-00000F000000}">
      <text>
        <r>
          <rPr>
            <b/>
            <sz val="9"/>
            <color indexed="81"/>
            <rFont val="Segoe UI"/>
            <family val="2"/>
          </rPr>
          <t xml:space="preserve">wagner.silva: 
CHAVES ENCONTRADAS INSTALADAS NO COMPUTADOR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OFFICE BASIC 2007
GCHXV-RCQKF-GFKXG-KR4MW-W3K6Y
OFFICE PROFESSIONAL 2010
VYBBJ-TRJPB-QFQRF-QFT4D-H3GVB</t>
        </r>
      </text>
    </comment>
    <comment ref="W9" authorId="0" shapeId="0" xr:uid="{E7F21EE3-9298-4F52-A821-52536C24248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BALCÃO - SUBSTITUIDO POR NOVO EM 07/2022</t>
        </r>
      </text>
    </comment>
    <comment ref="W10" authorId="0" shapeId="0" xr:uid="{C6541C6B-C06F-4B3A-8A93-1E8D650C873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LEIKSON - SUBSTITUIDO POR NOVO EM 07/2022</t>
        </r>
      </text>
    </comment>
    <comment ref="D11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WABNER TROCADO EM 24/09/2021</t>
        </r>
      </text>
    </comment>
    <comment ref="W11" authorId="0" shapeId="0" xr:uid="{41AF71A9-B225-4A60-B421-62AFD6A0247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DO BALCAO(LUIZ) / WABNER</t>
        </r>
      </text>
    </comment>
    <comment ref="D12" authorId="0" shapeId="0" xr:uid="{EA8A9F5D-64EC-4D89-8A1A-8747B3570EB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PAULO PINHEIRO</t>
        </r>
      </text>
    </comment>
    <comment ref="H12" authorId="1" shapeId="0" xr:uid="{00000000-0006-0000-0000-000011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SSD RETIRADO E INSTALADO NO COMPUTADOR </t>
        </r>
        <r>
          <rPr>
            <b/>
            <sz val="9"/>
            <color indexed="81"/>
            <rFont val="Segoe UI"/>
            <family val="2"/>
          </rPr>
          <t>DJBKPQ1</t>
        </r>
        <r>
          <rPr>
            <sz val="9"/>
            <color indexed="81"/>
            <rFont val="Segoe UI"/>
            <family val="2"/>
          </rPr>
          <t xml:space="preserve"> (COMPUTADOR QUE VEIO DO ESCRITÓRIO DA BARRA  - JONATAS)
KNG = KINGSTON
TROCA EFETUADA EM 06/08/21
</t>
        </r>
      </text>
    </comment>
    <comment ref="M12" authorId="0" shapeId="0" xr:uid="{D9EFFE57-0EDF-4587-AE75-43372E8953F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Microsoft Office Professional 2010
4CQ94-FR6Q6-D78B2-MPD36-4YDPB </t>
        </r>
      </text>
    </comment>
    <comment ref="W12" authorId="0" shapeId="0" xr:uid="{8E5E9552-64B9-431F-957C-079BC6CA9414}">
      <text>
        <r>
          <rPr>
            <b/>
            <sz val="9"/>
            <color indexed="81"/>
            <rFont val="Segoe UI"/>
            <family val="2"/>
          </rPr>
          <t xml:space="preserve">Suporte:
EX FELIPE MEZANINO SUBSTITUIDO
</t>
        </r>
        <r>
          <rPr>
            <sz val="9"/>
            <color indexed="81"/>
            <rFont val="Segoe UI"/>
            <family val="2"/>
          </rPr>
          <t xml:space="preserve">
EX LUANA - SUBSTITUIDO PELO COMPUTADOR DA ACÁCIA EM 07/2022</t>
        </r>
      </text>
    </comment>
    <comment ref="D13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NOTEBOOK EX-ANTONIO</t>
        </r>
      </text>
    </comment>
    <comment ref="H13" authorId="0" shapeId="0" xr:uid="{9188D354-D2D4-4BCF-9A48-2E92E140B2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WR=WALRAM
TROCADO EM 18/02/2022</t>
        </r>
      </text>
    </comment>
    <comment ref="W13" authorId="1" shapeId="0" xr:uid="{00000000-0006-0000-0000-000004000000}">
      <text>
        <r>
          <rPr>
            <b/>
            <sz val="9"/>
            <color indexed="81"/>
            <rFont val="Segoe UI"/>
            <family val="2"/>
          </rPr>
          <t xml:space="preserve">wagner.silva:
EX LUCIANA - SUBSTITUIDO POR NOVO EM 07/2022
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H14" authorId="0" shapeId="0" xr:uid="{00000000-0006-0000-0000-00003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03/08/21</t>
        </r>
      </text>
    </comment>
    <comment ref="I14" authorId="0" shapeId="0" xr:uid="{D976F774-501F-44A1-9060-41D22975D3B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RETIRADO PARA POR NO NOTEBOOK INFORMATIVO-TI</t>
        </r>
      </text>
    </comment>
    <comment ref="K14" authorId="0" shapeId="0" xr:uid="{75269EBD-170D-4D1E-BF94-ABFC86AA1EE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LICENÇA WINDOWS 7
MFKG4-BWY48-W8K6Y-G2Q6J-WVM82</t>
        </r>
      </text>
    </comment>
    <comment ref="W14" authorId="0" shapeId="0" xr:uid="{F337B72C-2A0B-4879-AD1E-F77CBB541CA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JÚLIO - SUBSTITUIDO POR NOVO EM 07/2022</t>
        </r>
      </text>
    </comment>
    <comment ref="H15" authorId="0" shapeId="0" xr:uid="{838F4DD6-059B-4DCC-A73F-EE4142986E7A}">
      <text>
        <r>
          <rPr>
            <b/>
            <sz val="9"/>
            <color indexed="81"/>
            <rFont val="Segoe UI"/>
            <family val="2"/>
          </rPr>
          <t>Suporte:
KNG = KINGSTON</t>
        </r>
        <r>
          <rPr>
            <sz val="9"/>
            <color indexed="81"/>
            <rFont val="Segoe UI"/>
            <family val="2"/>
          </rPr>
          <t xml:space="preserve">
SUBSTITUIDO HD 1TB POR SSD 240 KINGSTON EM 27/09/2022</t>
        </r>
      </text>
    </comment>
    <comment ref="W15" authorId="0" shapeId="0" xr:uid="{D90D9E8D-8398-49A7-A752-5A5EEF48E46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WANDRÉ - SUBSTITUIDO POR NOVO EM 07/2022</t>
        </r>
      </text>
    </comment>
    <comment ref="H16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27/08/21</t>
        </r>
      </text>
    </comment>
    <comment ref="W16" authorId="0" shapeId="0" xr:uid="{F232034D-A5DF-4BB9-BE45-54BED5CFDD41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>EX JONATAS 2ANDAR SUBSTITUIDO NO DIA 25/10/2022</t>
        </r>
      </text>
    </comment>
    <comment ref="F18" authorId="0" shapeId="0" xr:uid="{F932125C-A657-49ED-A999-E67447741B4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DELL Dá Suporte até o WINDOWS SERVER 2012 R2</t>
        </r>
      </text>
    </comment>
    <comment ref="F19" authorId="0" shapeId="0" xr:uid="{E375AC5D-C466-46B0-B0EC-E7E7D19FE6E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DELL Dá Suporte até o WINDOWS SERVER 2016</t>
        </r>
      </text>
    </comment>
    <comment ref="H21" authorId="0" shapeId="0" xr:uid="{DC2261A7-17FF-49C4-AE13-B9C9CC12402A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14/07/2022</t>
        </r>
      </text>
    </comment>
    <comment ref="W21" authorId="0" shapeId="0" xr:uid="{957A5C9A-E9E9-4A29-A531-96F1E55D594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JANSEN - SUBSTITUIDO POR NOVO EM 07/2022</t>
        </r>
      </text>
    </comment>
    <comment ref="H23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
1 HD 1TB</t>
        </r>
      </text>
    </comment>
    <comment ref="H24" authorId="0" shapeId="0" xr:uid="{BBFE7BAE-F7AB-4496-B2B4-077E9259839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25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D27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27" authorId="1" shapeId="0" xr:uid="{00000000-0006-0000-0000-00000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28" authorId="0" shapeId="0" xr:uid="{E056A596-70EC-4F6E-9E07-E832767515A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28" authorId="1" shapeId="0" xr:uid="{A0CD6832-1DE3-4F15-9FD2-1979EDE7BCD5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29" authorId="0" shapeId="0" xr:uid="{3F47DAC8-576B-491B-A820-C73F3F33698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TELEFONIA - SUBSTITUIDO POR NOVO EM 07/2022</t>
        </r>
      </text>
    </comment>
    <comment ref="D30" authorId="0" shapeId="0" xr:uid="{7361D1C2-434D-4E46-BA3C-30360FAB97E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VERÔNICA
CONFIGURADO P/ VENDEDOR JOÃO MENDONÇA EM 07/02/2022</t>
        </r>
      </text>
    </comment>
    <comment ref="H30" authorId="1" shapeId="0" xr:uid="{24F6081B-AF2F-4AF5-BF64-CD9BC84A0A0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M30" authorId="0" shapeId="0" xr:uid="{6FE0C595-0E56-4230-B79B-946028369B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FOI ENCONTRADO OUTRAS LICENÇAS NO COMPUTADOR: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OFFICE 2007 ENTERPRISE:
</t>
        </r>
        <r>
          <rPr>
            <sz val="10"/>
            <color indexed="81"/>
            <rFont val="Segoe UI"/>
            <family val="2"/>
          </rPr>
          <t>KGFVY-7733B-8WCK9-KTG64-BC7D8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OFFICE PROFESSIONAL 2010:
</t>
        </r>
        <r>
          <rPr>
            <sz val="10"/>
            <color indexed="81"/>
            <rFont val="Segoe UI"/>
            <family val="2"/>
          </rPr>
          <t>BQ34D-CTRPP-MK33T-3YKBC-G7CW6</t>
        </r>
      </text>
    </comment>
    <comment ref="W30" authorId="0" shapeId="0" xr:uid="{DF9F3893-D962-4732-93AD-4B4C287A16F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JOÃO - SUBSTITUIDO POR NOVO EM 07/2022</t>
        </r>
      </text>
    </comment>
    <comment ref="D31" authorId="0" shapeId="0" xr:uid="{00000000-0006-0000-0000-00003A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ANDRESSA CINDRA
TROCADO EM 28/10/21
</t>
        </r>
      </text>
    </comment>
    <comment ref="H31" authorId="1" shapeId="0" xr:uid="{84DCF0FC-5F18-488F-9939-A0366541BC68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substituido HD 1TB em 20/06/2022
KNG = KINGSTON</t>
        </r>
      </text>
    </comment>
    <comment ref="K31" authorId="0" shapeId="0" xr:uid="{5DEC665E-99AE-4C43-B19E-F1983817172D}">
      <text>
        <r>
          <rPr>
            <b/>
            <sz val="9"/>
            <color indexed="81"/>
            <rFont val="Segoe UI"/>
            <family val="2"/>
          </rPr>
          <t>Suporte:
Estava ativado com esse serial
WINDOWS 7 PRO - ETIQUETA</t>
        </r>
        <r>
          <rPr>
            <sz val="9"/>
            <color indexed="81"/>
            <rFont val="Segoe UI"/>
            <family val="2"/>
          </rPr>
          <t xml:space="preserve">
2PV8J-JJHK8-DH8W4-7BKP4-QYKPV</t>
        </r>
      </text>
    </comment>
    <comment ref="W31" authorId="0" shapeId="0" xr:uid="{C2B19755-7ECE-4590-8987-9CA7CF65CB5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DO MAGNO REIS</t>
        </r>
      </text>
    </comment>
    <comment ref="D33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FLORA - TROCADO EM 16/09/2021</t>
        </r>
      </text>
    </comment>
    <comment ref="H33" authorId="1" shapeId="0" xr:uid="{00000000-0006-0000-0000-00001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3" authorId="0" shapeId="0" xr:uid="{533B4497-08BB-42E5-A82C-A6CD91CB461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MARCELO - SUBSTITUIDO POR NOVO EM 07/2022</t>
        </r>
      </text>
    </comment>
    <comment ref="D34" authorId="0" shapeId="0" xr:uid="{BF8721B4-4F06-45C5-987C-F797D7DE8FF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DJBKPQ1 (COMPUTADOR QUE VEIO DO ESCRITÓRIO DA BARRA  - JONATAS)</t>
        </r>
      </text>
    </comment>
    <comment ref="H34" authorId="1" shapeId="0" xr:uid="{71480732-06C3-49A5-B228-262D77E26067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K34" authorId="0" shapeId="0" xr:uid="{0D72C334-474B-401B-8F6A-70B8B5F1853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SERIAL ORIGINAL ETIQUETA WINDOWS 7 PRO</t>
        </r>
        <r>
          <rPr>
            <sz val="9"/>
            <color indexed="81"/>
            <rFont val="Segoe UI"/>
            <family val="2"/>
          </rPr>
          <t xml:space="preserve">
MDPB2-WVWXM-GBHMV-3T2VP-GPD49</t>
        </r>
      </text>
    </comment>
    <comment ref="M34" authorId="0" shapeId="0" xr:uid="{CE7DB7A3-E875-409E-BA1D-C2D076DACC1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Microsoft Office Professional 2010
4CQ94-FR6Q6-D78B2-MPD36-4YDPB </t>
        </r>
      </text>
    </comment>
    <comment ref="D35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FABRÍCIO - TROCADO EM 06/09/2021
EX COMPUTADOR FLORA - TROCADO EM 24/11/2021 PELO 25M23V1
</t>
        </r>
      </text>
    </comment>
    <comment ref="M35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CHECADO EM 06/09/21 - ESTAVA INSTALADO OFFICE H&amp;B 2010 - MESMO SERIAL DO COMPUTADOR DO WANDRÉ ( 4CQ94-FR6Q6-D78B2-MPD36-4YDPB )</t>
        </r>
      </text>
    </comment>
    <comment ref="W35" authorId="0" shapeId="0" xr:uid="{B810FE78-D858-4181-BC2C-56DD4B38BD1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FLORA
TROCADO COMPUTADOR DO TELL EM 04/03/2022</t>
        </r>
      </text>
    </comment>
    <comment ref="D36" authorId="0" shapeId="0" xr:uid="{8E0779B0-4A33-4179-870F-F493C7FA476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36" authorId="1" shapeId="0" xr:uid="{59E153B6-A50B-4604-8CA0-9C6F1974216B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38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JANAINA - TROCADO EM 20/09/2021</t>
        </r>
      </text>
    </comment>
    <comment ref="H38" authorId="1" shapeId="0" xr:uid="{00000000-0006-0000-0000-000020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8" authorId="0" shapeId="0" xr:uid="{DCFCBEE5-82DA-4123-9986-F501463616A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WABNER - SUBSTITUIDO POR NOVO EM 07/2022</t>
        </r>
      </text>
    </comment>
    <comment ref="D39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MARCELO - TROCADO EM 20/09/2021</t>
        </r>
      </text>
    </comment>
    <comment ref="H39" authorId="1" shapeId="0" xr:uid="{00000000-0006-0000-0000-000026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9" authorId="0" shapeId="0" xr:uid="{8CEFF453-8AB0-4844-9CE4-788FD7FDFC8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JANAINA - SUBSTITUIDO POR NOVO EM 07/2022</t>
        </r>
      </text>
    </comment>
    <comment ref="AA41" authorId="0" shapeId="0" xr:uid="{B25FE2FC-1871-4FEE-ABB5-F4D773398CA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H42" authorId="0" shapeId="0" xr:uid="{EA0CEB0A-4021-4402-8E5F-6598E535622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43" authorId="1" shapeId="0" xr:uid="{FF23F969-064E-4681-9058-D729BA3A65D6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25/11/21</t>
        </r>
      </text>
    </comment>
    <comment ref="H44" authorId="1" shapeId="0" xr:uid="{00000000-0006-0000-0000-000013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H45" authorId="0" shapeId="0" xr:uid="{1BCB4A4D-3833-493F-91C0-8E8FA8EA991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16/12/21</t>
        </r>
      </text>
    </comment>
    <comment ref="W45" authorId="1" shapeId="0" xr:uid="{00000000-0006-0000-0000-00003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LUCIANO ATUALMENTE ESTÁ EM USO COM ANTONIO
FOI MANTIDO OS DADOS DO LUCIANO NESTE NOTEBOOK, E FEITO BACKUP DOS DADOS DELE NO HD EXTERNO DO TI EM 06/05/21</t>
        </r>
      </text>
    </comment>
    <comment ref="D46" authorId="0" shapeId="0" xr:uid="{25B50695-9AD1-4087-9ACA-F2C66848879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KASSIANE ANA DANTAS</t>
        </r>
      </text>
    </comment>
    <comment ref="H46" authorId="1" shapeId="0" xr:uid="{2023747A-409D-476C-AA52-E8F88456BA3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28/04/22</t>
        </r>
      </text>
    </comment>
    <comment ref="K46" authorId="0" shapeId="0" xr:uid="{DADB8D2F-6D4D-4D3D-9DA9-17C5D2BEAD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WINDOWS 7 PRO
VWP3J-QTBBD-FMMMW-BF6Q8-GPC9B</t>
        </r>
      </text>
    </comment>
    <comment ref="Q46" authorId="0" shapeId="0" xr:uid="{81204605-A5A4-408D-A097-7AEE718C22C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HARAS-03</t>
        </r>
      </text>
    </comment>
    <comment ref="Y46" authorId="0" shapeId="0" xr:uid="{ABC0AF27-891C-42D0-A7FA-068F27F6629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KASSIANE USAVA OS RAMAIS 5861/5852</t>
        </r>
      </text>
    </comment>
    <comment ref="H47" authorId="1" shapeId="0" xr:uid="{00000000-0006-0000-0000-00001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D48" authorId="0" shapeId="0" xr:uid="{FCE9B0FE-D113-4D1F-B52A-2B410BE209A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RODRIGO TROCADO EM 11/04/2022</t>
        </r>
      </text>
    </comment>
    <comment ref="H48" authorId="1" shapeId="0" xr:uid="{BF646C6E-C4AC-49F8-9D3F-BD160E0C062A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11/04/22</t>
        </r>
      </text>
    </comment>
    <comment ref="K48" authorId="0" shapeId="0" xr:uid="{B2E01CC4-96D9-40F2-97C8-CA6C87920FD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SERIAL WINDOWS 10 PRO
9QYNR-CT8YM-KQJHB-W82PK-MG9TP</t>
        </r>
      </text>
    </comment>
    <comment ref="Q48" authorId="0" shapeId="0" xr:uid="{2957E6DF-92DE-4507-9F44-44D1E0EABEB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COMPRAS03</t>
        </r>
      </text>
    </comment>
    <comment ref="D49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ANDRESSA MARTINS (FATURAMENTO) - TROCADO EM 09/09/2021</t>
        </r>
      </text>
    </comment>
    <comment ref="G49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.00216 (PERDEU A PLAQUETA)</t>
        </r>
      </text>
    </comment>
    <comment ref="H49" authorId="1" shapeId="0" xr:uid="{00000000-0006-0000-0000-00002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5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 DO COMPUTADOR EFETUADA EM 06/09/21</t>
        </r>
      </text>
    </comment>
    <comment ref="H50" authorId="1" shapeId="0" xr:uid="{00000000-0006-0000-0000-00001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D51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 DO COMPUTADOR EFETUADA EM 12/08/21</t>
        </r>
      </text>
    </comment>
    <comment ref="D52" authorId="0" shapeId="0" xr:uid="{00000000-0006-0000-0000-00003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TROCADO COMPUTADOR EM 03/08/21</t>
        </r>
      </text>
    </comment>
    <comment ref="H52" authorId="1" shapeId="0" xr:uid="{00000000-0006-0000-0000-000036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H53" authorId="1" shapeId="0" xr:uid="{348E32DE-06B2-41B1-A6EF-7314C02A3039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
INSTALADO EM 25/11/2021</t>
        </r>
      </text>
    </comment>
    <comment ref="W53" authorId="0" shapeId="0" xr:uid="{938BE042-FC00-4F8B-850E-78C8F34EBB9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
ANDRESSA MARTINS
</t>
        </r>
      </text>
    </comment>
    <comment ref="H54" authorId="1" shapeId="0" xr:uid="{C6BFDBF3-A5FD-420F-94B3-1CF759997D9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55" authorId="0" shapeId="0" xr:uid="{00000000-0006-0000-0000-00003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THAINA</t>
        </r>
      </text>
    </comment>
    <comment ref="H55" authorId="0" shapeId="0" xr:uid="{7EFFDB89-3979-44E9-BFD7-062DDB3ACC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CRU = CRUCIAL
TROCA EFETUADA EM 07/2022</t>
        </r>
      </text>
    </comment>
    <comment ref="K55" authorId="0" shapeId="0" xr:uid="{599F89EB-E2E8-4316-8106-74855FA9E0A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SERIAL ANTERIOR
WINDOWS 7 PRO
32KD2-K9CTF-M3DJT-4J3WC-733WD</t>
        </r>
      </text>
    </comment>
    <comment ref="Y55" authorId="0" shapeId="0" xr:uid="{9DE2BC27-6595-47E9-A70C-675BCB1159C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ANTIGOS RAMAIS
5847/5865</t>
        </r>
      </text>
    </comment>
    <comment ref="H56" authorId="1" shapeId="0" xr:uid="{00000000-0006-0000-0000-000027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M56" authorId="1" shapeId="0" xr:uid="{E32D8FCE-B9FF-4F2D-971D-08F1C1AA184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LICENÇA ENCONTRADA NA CONTA SUPORTE NO SITE OFFICE.COM/SETUP</t>
        </r>
      </text>
    </comment>
    <comment ref="H57" authorId="1" shapeId="0" xr:uid="{7CBCCDF9-E882-4B82-B5AA-3495CC5A6F4A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K57" authorId="0" shapeId="0" xr:uid="{8EC1BC90-48EC-4A97-A514-B6EEECDD428E}">
      <text>
        <r>
          <rPr>
            <b/>
            <sz val="9"/>
            <color indexed="81"/>
            <rFont val="Segoe UI"/>
            <family val="2"/>
          </rPr>
          <t xml:space="preserve">Suporte:
CHAVE WINDOWS BIOS OEM
WNQ9F-C4M93-8KR4Y-DBCPJ-BWP7P
</t>
        </r>
        <r>
          <rPr>
            <sz val="9"/>
            <color indexed="81"/>
            <rFont val="Segoe UI"/>
            <family val="2"/>
          </rPr>
          <t xml:space="preserve">
SERIAL ANTERIOR-WINDOWS 7
32KD2-K9CTF-M3DJT-4J3WC-733WD</t>
        </r>
      </text>
    </comment>
    <comment ref="M57" authorId="0" shapeId="0" xr:uid="{5BF2A702-9763-4EDA-BB5B-BEBC8C89D64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office anterior
BASIC 2007
HJ7C7-273WY-6J3RH-X2PBX-KGVG3
</t>
        </r>
      </text>
    </comment>
    <comment ref="Q57" authorId="0" shapeId="0" xr:uid="{7DE11A03-0951-472D-B4FD-C7E0B037829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HOST ANTIGO: VENDAS-06</t>
        </r>
      </text>
    </comment>
    <comment ref="W57" authorId="0" shapeId="0" xr:uid="{69D2C64E-3893-442E-8FE9-3C5EFF734AC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JORGINHO
</t>
        </r>
      </text>
    </comment>
    <comment ref="H58" authorId="0" shapeId="0" xr:uid="{DF956CE0-B183-40E7-A74D-ED996C3620F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59" authorId="0" shapeId="0" xr:uid="{38687F5D-9066-4256-B57A-698A4B06C3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0" authorId="0" shapeId="0" xr:uid="{29749551-E80F-4E6E-B739-5C7A54400D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1" authorId="0" shapeId="0" xr:uid="{5C8B74F6-CE6B-4C8B-B94E-B7A1DE370EC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2" authorId="0" shapeId="0" xr:uid="{9D34805B-1D7E-413B-841A-681631C0B0B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D63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ALVARO TROCADO EM 21/09/2021</t>
        </r>
      </text>
    </comment>
    <comment ref="H63" authorId="0" shapeId="0" xr:uid="{B94C5652-EF29-444C-B50F-53B2A2F1039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 (INSTALADO EM 25/03/2022)
HD ANTIGO 320GB</t>
        </r>
      </text>
    </comment>
    <comment ref="K63" authorId="0" shapeId="0" xr:uid="{81F7FD67-40C5-46CB-8CF0-D61CA14B524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CHAVE OEM FIRMWARE - WINDOWS 7 PRO
32KD2-K9CTF-M3DJT-4J3WC-733WD</t>
        </r>
      </text>
    </comment>
    <comment ref="M63" authorId="0" shapeId="0" xr:uid="{23A288C7-CEDC-4991-AC06-FD86E0721F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LICENÇA ANTIGA OFFICE BASIC 2007
PFJBW-Q66BD-48VJP-G2G6J-HK89Q</t>
        </r>
      </text>
    </comment>
    <comment ref="W63" authorId="0" shapeId="0" xr:uid="{16D8FA93-C29D-42EB-B251-D114C212B13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TIAGO - SUBSTITUIDO POR NOVO EM 07/2022</t>
        </r>
      </text>
    </comment>
    <comment ref="H64" authorId="0" shapeId="0" xr:uid="{BC7EE585-F10D-4E24-ACC9-7138D89417B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5" authorId="0" shapeId="0" xr:uid="{754CC7ED-99EC-490E-9F85-82BF0E25164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6" authorId="0" shapeId="0" xr:uid="{CBCB3C63-D978-42EB-B753-4AA780619E5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7" authorId="0" shapeId="0" xr:uid="{59594E88-6B2B-498A-96D7-9F038E2BDCE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8" authorId="0" shapeId="0" xr:uid="{CA98AB5A-5FA6-4B9D-8937-255F5D81569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9" authorId="0" shapeId="0" xr:uid="{B627CCA2-9CD6-4FC5-A4F2-858573E14C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W69" authorId="1" shapeId="0" xr:uid="{84E9531E-2EE2-41AB-BE30-F496F3FAF9CC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AA71" authorId="0" shapeId="0" xr:uid="{923EFBB6-0E88-4AE9-A807-8A4259A7404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H72" authorId="1" shapeId="0" xr:uid="{00000000-0006-0000-0000-00002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H74" authorId="0" shapeId="0" xr:uid="{ABF14253-73F0-48C5-936D-FAFD406446B2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26/09/2022</t>
        </r>
      </text>
    </comment>
    <comment ref="I74" authorId="0" shapeId="0" xr:uid="{ED5B353F-F060-42E7-BFFD-171836E16A9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4GB DDR3 SDRAM AT 1333MHZ-2X2G B</t>
        </r>
      </text>
    </comment>
    <comment ref="K74" authorId="0" shapeId="0" xr:uid="{7E005215-E9F4-4E25-8742-D859D6D3076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WINDOWS 7 PRO
K9QPV-TP4KK-232FP-F8YWR-X6HKY</t>
        </r>
      </text>
    </comment>
    <comment ref="D75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EX COMPUTADOR DO MAGNO REIS (TROCADO EM 28/10/21)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CORE i3 - 6100 @ 3.70GHZ
SOCKET 1151 LGA
DDR3 - PC3 12800 (800 MHZ)</t>
        </r>
      </text>
    </comment>
    <comment ref="H75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
KNG = KINGSTON
</t>
        </r>
        <r>
          <rPr>
            <sz val="10"/>
            <color indexed="81"/>
            <rFont val="Segoe UI"/>
            <family val="2"/>
          </rPr>
          <t>INSTALADO EM 29/10/21</t>
        </r>
      </text>
    </comment>
    <comment ref="H76" authorId="1" shapeId="0" xr:uid="{00000000-0006-0000-0000-00002D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H77" authorId="0" shapeId="0" xr:uid="{44675735-BB08-4640-9972-B8B98824CD9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
1 HD 1TB</t>
        </r>
      </text>
    </comment>
    <comment ref="H78" authorId="0" shapeId="0" xr:uid="{E6B82EBC-9DE8-49FC-A3BC-64DDC3976C18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04/07/2022</t>
        </r>
      </text>
    </comment>
    <comment ref="K78" authorId="0" shapeId="0" xr:uid="{E3684A55-C102-415A-86EE-5C48A70E7A0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SERIAL WINDOWS 10PRO</t>
        </r>
        <r>
          <rPr>
            <sz val="9"/>
            <color indexed="81"/>
            <rFont val="Segoe UI"/>
            <family val="2"/>
          </rPr>
          <t xml:space="preserve">
GFNDR-KGDWM-KCQFT-3QR82-KW3GP</t>
        </r>
      </text>
    </comment>
    <comment ref="H79" authorId="0" shapeId="0" xr:uid="{616B1B55-C91D-4ECD-A6E9-A808DE52C19E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05/08/2022</t>
        </r>
      </text>
    </comment>
    <comment ref="H80" authorId="0" shapeId="0" xr:uid="{EC33373F-638F-4721-A859-6AADAD152F2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81" authorId="0" shapeId="0" xr:uid="{00000000-0006-0000-0000-000030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20/08/21</t>
        </r>
      </text>
    </comment>
    <comment ref="K81" authorId="0" shapeId="0" xr:uid="{00000000-0006-0000-0000-000031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não existe a etiqueta com o serial do windows no gabinete</t>
        </r>
      </text>
    </comment>
    <comment ref="D82" authorId="0" shapeId="0" xr:uid="{00000000-0006-0000-0000-00002E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MAURICIO
THAINA COMEÇOU A UTILIZAR EM 22/09/2021</t>
        </r>
      </text>
    </comment>
    <comment ref="H82" authorId="1" shapeId="0" xr:uid="{00000000-0006-0000-0000-00002F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83" authorId="0" shapeId="0" xr:uid="{4877181E-19B0-4F39-BE4D-F8D4DA8092E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MAURICIO
THAINA COMEÇOU A UTILIZAR EM 22/09/2021</t>
        </r>
      </text>
    </comment>
    <comment ref="H83" authorId="1" shapeId="0" xr:uid="{0F289990-1605-4472-B0CB-31B8C65FAE1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84" authorId="0" shapeId="0" xr:uid="{FE63685A-EFB9-4B19-90F1-6FD1FD93A9A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SÁ
FOI TROCADO POR UM COMPUTADOR NOVO EM 03/08/21
----------------------------------------------------------------------------------
PLACA MÃE ORIGINAL DA DELL APRESENTOU PROBLEMAS NAS PORTAS USB
PROBLEMA NA PLACA MÃE - USBS EM CURTO
</t>
        </r>
        <r>
          <rPr>
            <b/>
            <sz val="9"/>
            <color indexed="81"/>
            <rFont val="Segoe UI"/>
            <family val="2"/>
          </rPr>
          <t>FOI SUBSTITUIDO POR:</t>
        </r>
        <r>
          <rPr>
            <sz val="9"/>
            <color indexed="81"/>
            <rFont val="Segoe UI"/>
            <family val="2"/>
          </rPr>
          <t xml:space="preserve">
- PLACA MÃE ( ASUS H81M-C VER.1.02 )
- PROCESSADOR ( INTEL CORE i3 4160 - 3.60GHZ )
- MEMÓRIA ( 2GB DDR3 1333MHZ - KINGSTON + 4GB DDR3 1333MHZ - KINGSTON )
</t>
        </r>
      </text>
    </comment>
    <comment ref="H84" authorId="1" shapeId="0" xr:uid="{985A9C8A-3A15-4077-BFE8-D633326ADE6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INSTALADO EM 24/11/2021</t>
        </r>
      </text>
    </comment>
    <comment ref="W84" authorId="0" shapeId="0" xr:uid="{16BBA57A-C271-4157-BFC7-7481ED222CB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FLORA - SUBSTITUIDO POR NOVO EM 07/2022</t>
        </r>
      </text>
    </comment>
    <comment ref="Y84" authorId="0" shapeId="0" xr:uid="{A2744B23-8A7B-46F0-9B02-5C4DF86A00A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RAMAL DA ACACIA 5821 (FISCAL)</t>
        </r>
      </text>
    </comment>
    <comment ref="H86" authorId="0" shapeId="0" xr:uid="{4A27C791-87CA-4FE4-8EFD-A9D49619A55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87" authorId="0" shapeId="0" xr:uid="{67C3C9EE-7844-42C1-80B2-6808CBD30777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CRU = CRUCIAL
Instalado em 01/06/2023
</t>
        </r>
      </text>
    </comment>
    <comment ref="H88" authorId="1" shapeId="0" xr:uid="{00000000-0006-0000-0000-00003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H91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P91" authorId="0" shapeId="0" xr:uid="{9D0C8B92-B5D4-4933-BD9A-471D5D5FB99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#Rodrigo1.</t>
        </r>
      </text>
    </comment>
    <comment ref="Q91" authorId="0" shapeId="0" xr:uid="{17E6FE07-AFA0-4CF5-A683-17440CA84D7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NOTE-TI</t>
        </r>
      </text>
    </comment>
    <comment ref="AF91" authorId="0" shapeId="0" xr:uid="{9C197CB7-6451-43E1-A875-E7674E62CC4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  <comment ref="H92" authorId="1" shapeId="0" xr:uid="{00000000-0006-0000-0000-00001B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K92" authorId="0" shapeId="0" xr:uid="{D6A3EBBA-0157-45E1-A089-A3B7AF5EADA6}">
      <text>
        <r>
          <rPr>
            <b/>
            <sz val="9"/>
            <color indexed="81"/>
            <rFont val="Segoe UI"/>
            <family val="2"/>
          </rPr>
          <t>Suporte:
SERIAL DA ETIQUETA DO GABINETE (WINDOWS 7 PRO)
BTQCY-MB2QM-3KMCQ-R4MDY-PVYC2
Estava ativado com esse serial</t>
        </r>
        <r>
          <rPr>
            <sz val="9"/>
            <color indexed="81"/>
            <rFont val="Segoe UI"/>
            <family val="2"/>
          </rPr>
          <t xml:space="preserve">
WINDOWS 7 PRO
32KD2-K9CTF-M3DJT-4J3WC-733WD</t>
        </r>
      </text>
    </comment>
    <comment ref="P92" authorId="0" shapeId="0" xr:uid="{87304470-5062-4B3D-8CA7-7972528E1EB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gmr123.</t>
        </r>
      </text>
    </comment>
    <comment ref="Q92" authorId="0" shapeId="0" xr:uid="{691E73DF-84A7-4004-BBAA-8E9397D6363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VENDAS-05</t>
        </r>
      </text>
    </comment>
    <comment ref="W92" authorId="0" shapeId="0" xr:uid="{656FD0F9-AAD8-448F-A6D1-1EF22C3B1F8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DA
 SHEILA GARRIDO</t>
        </r>
      </text>
    </comment>
    <comment ref="AF92" authorId="0" shapeId="0" xr:uid="{1D87D43C-E501-43DA-B0DB-0B1E884628E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  <comment ref="H93" authorId="1" shapeId="0" xr:uid="{00000000-0006-0000-0000-00001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P93" authorId="0" shapeId="0" xr:uid="{A4241A40-29C5-4104-9A63-61CFA15032F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Paulo - Usuário: paulo | Senha: p@ulo.
Carlos - Usuário: carlos | Senha: C4rlos#</t>
        </r>
      </text>
    </comment>
    <comment ref="Q93" authorId="0" shapeId="0" xr:uid="{C51BF1E4-F296-4152-8958-24821C4917C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VENDAS-07</t>
        </r>
      </text>
    </comment>
    <comment ref="W93" authorId="0" shapeId="0" xr:uid="{A2DD5677-7DBC-455C-AFAA-EFC9E1C4CA4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LUCAS - SUBSTITUIDO POR NOVO EM 07/2022</t>
        </r>
      </text>
    </comment>
    <comment ref="AF93" authorId="0" shapeId="0" xr:uid="{6158522E-25BC-4516-8443-DCB4A7188F2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</authors>
  <commentList>
    <comment ref="F1" authorId="0" shapeId="0" xr:uid="{37EDD232-412F-401B-907F-55599E5D472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PORTA SWITCH INTELBRAS GATEWAY </t>
        </r>
      </text>
    </comment>
    <comment ref="G1" authorId="0" shapeId="0" xr:uid="{F49D0042-7FAF-4895-A766-35B88B71A93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S=SWITCH
P=PORTA
</t>
        </r>
        <r>
          <rPr>
            <b/>
            <sz val="9"/>
            <color indexed="81"/>
            <rFont val="Segoe UI"/>
            <family val="2"/>
          </rPr>
          <t>DESTINO SWITCH CISCO POE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</authors>
  <commentList>
    <comment ref="B2" authorId="0" shapeId="0" xr:uid="{8B02F5C8-2121-4365-9C8B-0B6BF369ED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  <comment ref="B3" authorId="0" shapeId="0" xr:uid="{D3E2D378-5386-401C-A854-2C6769A35DC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  <comment ref="B4" authorId="0" shapeId="0" xr:uid="{CD4D22A4-6192-48C6-A632-FD12DA9C2FE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D123" authorId="0" shapeId="0" xr:uid="{41900D98-B032-475E-8920-2B846C56EFE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WANDRÉ</t>
        </r>
      </text>
    </comment>
    <comment ref="D175" authorId="0" shapeId="0" xr:uid="{85F39E2E-5941-4B05-B01B-FBB9DA79B82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JONATAS</t>
        </r>
      </text>
    </comment>
    <comment ref="D191" authorId="1" shapeId="0" xr:uid="{00000000-0006-0000-0800-000002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COMPUTADOR ESTÁ NA SALA DE VENDAS, SEM FUNCIONÁRIO UTILIZANDO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F123" authorId="0" shapeId="0" xr:uid="{3DCFAA3B-5819-46B8-8B54-A9094365B4E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WANDRÉ</t>
        </r>
      </text>
    </comment>
    <comment ref="F175" authorId="0" shapeId="0" xr:uid="{7428BC0D-A5A9-4E1D-B27C-B5089341B4F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JONATAS</t>
        </r>
      </text>
    </comment>
    <comment ref="F191" authorId="1" shapeId="0" xr:uid="{F592E735-A6FA-4137-982C-A969795D0069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COMPUTADOR ESTÁ NA SALA DE VENDAS, SEM FUNCIONÁRIO UTILIZANDO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A3" authorId="0" shapeId="0" xr:uid="{D6E223A3-A5D8-44C0-8EFB-C32D699CA66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D3" authorId="0" shapeId="0" xr:uid="{1EBEEE10-0B22-49FB-BD6D-8C2470D08A5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I4" authorId="0" shapeId="0" xr:uid="{61C88812-4A88-4F02-B39F-83BC25AA2F0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TELL SEPARAÇÃO TROCADO EM 2022</t>
        </r>
      </text>
    </comment>
    <comment ref="I5" authorId="0" shapeId="0" xr:uid="{4ADF56A4-5C4A-4D7D-B2AC-9A42BE41B9F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CARLOS RENE - SUBSTITUIDO POR NOVO EM 07/2022</t>
        </r>
      </text>
    </comment>
    <comment ref="I6" authorId="0" shapeId="0" xr:uid="{B4A916A2-4B43-4B43-945B-8B7EC601D4E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HÉLIO - SUBSTITUIDO POR NOVO EM 07/2022</t>
        </r>
      </text>
    </comment>
    <comment ref="I7" authorId="0" shapeId="0" xr:uid="{DD101D42-68C5-47E3-8158-56340C88AD0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FELIPE - SUBSTITUIDO POR NOVO EM 07/2022</t>
        </r>
      </text>
    </comment>
    <comment ref="I8" authorId="0" shapeId="0" xr:uid="{A2E1C36F-6802-4449-A59B-6C18B6680E6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BALCÃO - SUBSTITUIDO POR NOVO EM 07/2022</t>
        </r>
      </text>
    </comment>
    <comment ref="I9" authorId="0" shapeId="0" xr:uid="{03A6060F-0A1D-4559-B5C4-8AFEFD23CA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LEIKSON - SUBSTITUIDO POR NOVO EM 07/2022</t>
        </r>
      </text>
    </comment>
    <comment ref="I10" authorId="0" shapeId="0" xr:uid="{A5C598F5-4171-4C56-A006-D4048DB827B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DO BALCAO(LUIZ) / WABNER</t>
        </r>
      </text>
    </comment>
    <comment ref="I11" authorId="0" shapeId="0" xr:uid="{4F61ED7A-7A40-4C65-A17F-D8A6EB345066}">
      <text>
        <r>
          <rPr>
            <b/>
            <sz val="9"/>
            <color indexed="81"/>
            <rFont val="Segoe UI"/>
            <family val="2"/>
          </rPr>
          <t xml:space="preserve">Suporte:
EX FELIPE MEZANINO SUBSTITUIDO
</t>
        </r>
        <r>
          <rPr>
            <sz val="9"/>
            <color indexed="81"/>
            <rFont val="Segoe UI"/>
            <family val="2"/>
          </rPr>
          <t xml:space="preserve">
EX LUANA - SUBSTITUIDO PELO COMPUTADOR DA ACÁCIA EM 07/2022</t>
        </r>
      </text>
    </comment>
    <comment ref="I12" authorId="1" shapeId="0" xr:uid="{E972EC1D-662E-463D-87E2-31E6E9D2FDFD}">
      <text>
        <r>
          <rPr>
            <b/>
            <sz val="9"/>
            <color indexed="81"/>
            <rFont val="Segoe UI"/>
            <family val="2"/>
          </rPr>
          <t xml:space="preserve">wagner.silva:
EX LUCIANA - SUBSTITUIDO POR NOVO EM 07/2022
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I13" authorId="0" shapeId="0" xr:uid="{CF5649D7-A8BE-4651-91C7-28D229966B4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JÚLIO - SUBSTITUIDO POR NOVO EM 07/2022</t>
        </r>
      </text>
    </comment>
    <comment ref="I14" authorId="0" shapeId="0" xr:uid="{D5E982B5-C7DA-410D-9C3F-6751EC18150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WANDRÉ - SUBSTITUIDO POR NOVO EM 07/2022</t>
        </r>
      </text>
    </comment>
    <comment ref="I15" authorId="0" shapeId="0" xr:uid="{25CD575F-837E-4A91-9BBB-D1701D8DCD58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>EX JONATAS 2ANDAR SUBSTITUIDO NO DIA 25/10/2022</t>
        </r>
      </text>
    </comment>
    <comment ref="I19" authorId="0" shapeId="0" xr:uid="{4EC410C4-4C35-4031-BFD9-B2C0EF2473F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JANSEN - SUBSTITUIDO POR NOVO EM 07/2022</t>
        </r>
      </text>
    </comment>
    <comment ref="I26" authorId="0" shapeId="0" xr:uid="{7487F791-B97E-4978-8620-2D687753F07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TELEFONIA - SUBSTITUIDO POR NOVO EM 07/2022</t>
        </r>
      </text>
    </comment>
    <comment ref="I27" authorId="0" shapeId="0" xr:uid="{62D9FF26-8877-42B9-964D-CCEAF7AFFAD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JOÃO - SUBSTITUIDO POR NOVO EM 07/2022</t>
        </r>
      </text>
    </comment>
    <comment ref="I28" authorId="0" shapeId="0" xr:uid="{49AB619B-EDCF-4248-B3B3-E9DB811C95A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DO MAGNO REIS</t>
        </r>
      </text>
    </comment>
    <comment ref="I30" authorId="0" shapeId="0" xr:uid="{EA213F6A-9B1D-4214-9682-C08E56CCBDA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MARCELO - SUBSTITUIDO POR NOVO EM 07/2022</t>
        </r>
      </text>
    </comment>
    <comment ref="I32" authorId="0" shapeId="0" xr:uid="{614B5735-F035-4E72-A256-0C33A96CA70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FLORA
TROCADO COMPUTADOR DO TELL EM 04/03/2022</t>
        </r>
      </text>
    </comment>
    <comment ref="I34" authorId="0" shapeId="0" xr:uid="{3FF35051-BF3D-4B74-8A8A-70B3D3BAF08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WABNER - SUBSTITUIDO POR NOVO EM 07/2022</t>
        </r>
      </text>
    </comment>
    <comment ref="I35" authorId="0" shapeId="0" xr:uid="{4A68053A-80E6-4850-904A-111A25B3847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JANAINA - SUBSTITUIDO POR NOVO EM 07/2022</t>
        </r>
      </text>
    </comment>
    <comment ref="I39" authorId="1" shapeId="0" xr:uid="{1A0908E3-DA6F-4E3F-95C6-800D3B84F714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LUCIANO ATUALMENTE ESTÁ EM USO COM ANTONIO
FOI MANTIDO OS DADOS DO LUCIANO NESTE NOTEBOOK, E FEITO BACKUP DOS DADOS DELE NO HD EXTERNO DO TI EM 06/05/21</t>
        </r>
      </text>
    </comment>
    <comment ref="C40" authorId="0" shapeId="0" xr:uid="{D8E86478-2F02-41B9-8E04-720207BC062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HARAS-03</t>
        </r>
      </text>
    </comment>
    <comment ref="C42" authorId="0" shapeId="0" xr:uid="{E80B795B-9059-4F6D-96D5-78D2CEAFBE7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COMPRAS03</t>
        </r>
      </text>
    </comment>
    <comment ref="I47" authorId="0" shapeId="0" xr:uid="{508ADE59-DB3C-4274-9E86-6621AA22CA3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
ANDRESSA MARTINS
</t>
        </r>
      </text>
    </comment>
    <comment ref="C51" authorId="0" shapeId="0" xr:uid="{C42B3B2E-49EC-4F86-AAB2-1789DBC98D2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HOST ANTIGO: VENDAS-06</t>
        </r>
      </text>
    </comment>
    <comment ref="I51" authorId="0" shapeId="0" xr:uid="{A6557F3A-E56E-44D1-ABB7-74BA4E585F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JORGINHO
</t>
        </r>
      </text>
    </comment>
    <comment ref="I57" authorId="0" shapeId="0" xr:uid="{B3EC001E-675E-4204-9C9A-9F9DB223DBD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TIAGO - SUBSTITUIDO POR NOVO EM 07/2022</t>
        </r>
      </text>
    </comment>
    <comment ref="I63" authorId="1" shapeId="0" xr:uid="{92AC9E43-733B-48DD-8035-F60FB776775F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I74" authorId="0" shapeId="0" xr:uid="{B16D607A-2EB3-45F7-979B-562BDD643EB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FLORA - SUBSTITUIDO POR NOVO EM 07/2022</t>
        </r>
      </text>
    </comment>
    <comment ref="C79" authorId="0" shapeId="0" xr:uid="{D67F7705-20D2-4262-A64E-CEE712520C3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NOTE-TI</t>
        </r>
      </text>
    </comment>
    <comment ref="C80" authorId="0" shapeId="0" xr:uid="{8140868F-C59D-4349-9FA1-6DA4569911F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VENDAS-05</t>
        </r>
      </text>
    </comment>
    <comment ref="I80" authorId="0" shapeId="0" xr:uid="{7DE6ECEA-90D8-4569-BBBF-E5597E9FD7E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DA
 SHEILA GARRIDO</t>
        </r>
      </text>
    </comment>
    <comment ref="C81" authorId="0" shapeId="0" xr:uid="{ABDA2D6A-E272-409A-BF28-DD58D7CAF12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VENDAS-07</t>
        </r>
      </text>
    </comment>
    <comment ref="I81" authorId="0" shapeId="0" xr:uid="{D8B1D133-9F27-43D2-B1D7-9CEC319E15C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LUCAS - SUBSTITUIDO POR NOVO EM 07/2022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tc={23864E5C-9A51-41CC-86AF-8D3927796530}</author>
    <author>tc={922B2E9C-33FE-4A55-BCAD-EC62E63C42CF}</author>
  </authors>
  <commentList>
    <comment ref="E2" authorId="0" shapeId="0" xr:uid="{E52933AE-BF02-422F-8688-ECE704BDBC8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PB - PRETO E BRANCO
CL - COLORIDA</t>
        </r>
      </text>
    </comment>
    <comment ref="C19" authorId="0" shapeId="0" xr:uid="{256F8112-CFCD-4ADB-8F7E-9D2F42EDA81C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ANTIGA IMPRESSORA DA ANILIUCHE</t>
        </r>
      </text>
    </comment>
    <comment ref="M21" authorId="0" shapeId="0" xr:uid="{A6080D97-CDAC-4858-8FCA-A7E265C08D6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QUEIMOU NO GALPÃO ENGELUMEN</t>
        </r>
      </text>
    </comment>
    <comment ref="M22" authorId="1" shapeId="0" xr:uid="{23864E5C-9A51-41CC-86AF-8D392779653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IMPRESSORA SUBSTITUIDA POR UMA MULTIFUNCIONAL HP - CHRISTIANO RETIROU A IMPRESSORA DEFEITUOSA DA NOSSA EMPRESSA EM 15/12/2021 AS 11:10H</t>
        </r>
      </text>
    </comment>
    <comment ref="M23" authorId="2" shapeId="0" xr:uid="{922B2E9C-33FE-4A55-BCAD-EC62E63C42CF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IMPRESSORA SUBSTITUIDA POR UMA BROTHER - CHRISTIANO RETIROU ESSA HP DA NOSSA EMPRESSA EM 15/12/2021 AS 11:10H</t>
        </r>
      </text>
    </comment>
    <comment ref="M24" authorId="0" shapeId="0" xr:uid="{C01E324F-AE25-4260-9D89-95F1F252114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5" authorId="0" shapeId="0" xr:uid="{FD5E99D8-6C3E-4E8E-BAA5-B210520B4A5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6" authorId="0" shapeId="0" xr:uid="{40598F76-E91B-4D66-ABA4-09DBC10EC48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7" authorId="0" shapeId="0" xr:uid="{19870F0D-94CD-491F-AF1F-92482609880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8" authorId="0" shapeId="0" xr:uid="{90AB3DB3-F546-4A7D-9A5E-EEABECACBE8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9" authorId="0" shapeId="0" xr:uid="{4B45F710-B6F4-403A-BFA3-9200BE0B8B6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22/03/2022 PELO CHRISTIANO
LACIELE SOLICITOU A RETIRADA, INFORMOU QUE A IMPRESSORA ESTAVA EMBOLANDO E PRENDENDO AS IMPRESSOES</t>
        </r>
      </text>
    </comment>
    <comment ref="M30" authorId="0" shapeId="0" xr:uid="{C6947720-7BE6-43A1-9C38-D94AFE3912E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22/03/2022
ROBERTA SOLICITOU A TROCA DA MESMA
CHRISTIANO TROCOU PELA BROTHER SCG000162</t>
        </r>
      </text>
    </comment>
    <comment ref="M31" authorId="0" shapeId="0" xr:uid="{17372A74-6A86-4E3F-90EB-7E588660326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03/06/2022
SÉRGIO SOLICITOU A TROCA DA MESMA
CHRISTIANO TROCOU PELA  SCG000
QUE FOI INSTALADA NO GALPÃO ENGELUMEN</t>
        </r>
      </text>
    </comment>
    <comment ref="M32" authorId="0" shapeId="0" xr:uid="{3C2E81EC-61EC-4099-8506-FC041259442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DEVOLUÇÃO FEITA NO DIA 01/07/2022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</t>
        </r>
      </text>
    </comment>
    <comment ref="M33" authorId="0" shapeId="0" xr:uid="{64AEEBED-FEB2-4B75-B72B-5A20BAB3E12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07/2022</t>
        </r>
      </text>
    </comment>
    <comment ref="M34" authorId="0" shapeId="0" xr:uid="{7E19E22A-B182-4ABF-BB87-A6B1CCE4F90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07/2022</t>
        </r>
      </text>
    </comment>
    <comment ref="M35" authorId="0" shapeId="0" xr:uid="{A44CE592-9FC0-434C-9992-5284DE3149F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02/08/2022</t>
        </r>
      </text>
    </comment>
    <comment ref="M36" authorId="0" shapeId="0" xr:uid="{35FBE476-FD10-4B6F-96CA-6F00E3BD452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02/08/2022</t>
        </r>
      </text>
    </comment>
    <comment ref="M37" authorId="0" shapeId="0" xr:uid="{570211D9-1693-4109-A16E-5D372A82313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38" authorId="0" shapeId="0" xr:uid="{8E67B3FB-188A-42CD-A16F-05FF322B49A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39" authorId="0" shapeId="0" xr:uid="{9990EBC2-289A-4D8E-838C-C064476951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40" authorId="0" shapeId="0" xr:uid="{486BC927-FDCC-48E4-9EA7-485F30ACDA9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28/10/2022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wagner.silva</author>
  </authors>
  <commentList>
    <comment ref="D25" authorId="0" shapeId="0" xr:uid="{00000000-0006-0000-0A00-000001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6" authorId="0" shapeId="0" xr:uid="{00000000-0006-0000-0A00-000002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7" authorId="0" shapeId="0" xr:uid="{00000000-0006-0000-0A00-000003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8" authorId="0" shapeId="0" xr:uid="{00000000-0006-0000-0A00-000008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28" authorId="0" shapeId="0" xr:uid="{00000000-0006-0000-0A00-00000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REFERENTE A NF 3609138 ANTIGO</t>
        </r>
        <r>
          <rPr>
            <sz val="9"/>
            <color indexed="81"/>
            <rFont val="Segoe UI"/>
            <family val="2"/>
          </rPr>
          <t xml:space="preserve">
Y2PNG-7XDMD-KVMKD-D7P2B-MY29V
SERIAL NÃO BAIXAVA E NÃO ATIVA
PNPVX-2BK39-P2JQ4-GWB4G-PDM86
NÃO ATIVA (VIA INTERNET/TELEFONE</t>
        </r>
      </text>
    </comment>
    <comment ref="D29" authorId="0" shapeId="0" xr:uid="{00000000-0006-0000-0A00-000004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29" authorId="0" shapeId="0" xr:uid="{00000000-0006-0000-0A00-000005000000}">
      <text>
        <r>
          <rPr>
            <b/>
            <sz val="9"/>
            <color indexed="81"/>
            <rFont val="Segoe UI"/>
            <family val="2"/>
          </rPr>
          <t>wagner.silva:
REFERENTE A NF 3609138 ANTIGO</t>
        </r>
        <r>
          <rPr>
            <sz val="9"/>
            <color indexed="81"/>
            <rFont val="Segoe UI"/>
            <family val="2"/>
          </rPr>
          <t xml:space="preserve">
2NMD3-R3Q3M-W2PFB-PWYJ4-KBQ67
SERIAL NÃO BAIXAVA E NÃO ATIVA</t>
        </r>
      </text>
    </comment>
    <comment ref="D30" authorId="0" shapeId="0" xr:uid="{00000000-0006-0000-0A00-000006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30" authorId="0" shapeId="0" xr:uid="{00000000-0006-0000-0A00-000007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REFERENTE A NF 3609138 ANTIGO</t>
        </r>
        <r>
          <rPr>
            <sz val="9"/>
            <color indexed="81"/>
            <rFont val="Segoe UI"/>
            <family val="2"/>
          </rPr>
          <t xml:space="preserve">
TH9Y7-NGMC4-3QT8G-J4YG6-4M29V
SERIAL NÃO BAIXAVA E NÃO ATIVA</t>
        </r>
      </text>
    </comment>
    <comment ref="F31" authorId="0" shapeId="0" xr:uid="{00000000-0006-0000-0A00-00000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F32" authorId="0" shapeId="0" xr:uid="{00000000-0006-0000-0A00-00000B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F33" authorId="0" shapeId="0" xr:uid="{00000000-0006-0000-0A00-00000C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G39" authorId="0" shapeId="0" xr:uid="{00000000-0006-0000-0A00-00000D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LICENÇA ENCONTRADA NA CONTA SUPORTE NO SITE OFFICE.COM/SETUP</t>
        </r>
      </text>
    </comment>
    <comment ref="G53" authorId="0" shapeId="0" xr:uid="{00000000-0006-0000-0A00-00000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ANTIGA LICENÇA DO
JEFFERSON ENGENHARIA-01</t>
        </r>
      </text>
    </comment>
  </commentList>
</comments>
</file>

<file path=xl/sharedStrings.xml><?xml version="1.0" encoding="utf-8"?>
<sst xmlns="http://schemas.openxmlformats.org/spreadsheetml/2006/main" count="7165" uniqueCount="1760">
  <si>
    <t>1º ANDAR</t>
  </si>
  <si>
    <t>2º ANDAR</t>
  </si>
  <si>
    <t>MODELO</t>
  </si>
  <si>
    <t>HOST</t>
  </si>
  <si>
    <t>USUÁRIO</t>
  </si>
  <si>
    <t>IP</t>
  </si>
  <si>
    <t>S.O.</t>
  </si>
  <si>
    <t>SERVICE TAG</t>
  </si>
  <si>
    <t>CUSTOM</t>
  </si>
  <si>
    <t>TI-00</t>
  </si>
  <si>
    <t>RICARDO</t>
  </si>
  <si>
    <t>WINDOWS 10</t>
  </si>
  <si>
    <t>N/D</t>
  </si>
  <si>
    <t>SETOR</t>
  </si>
  <si>
    <t>TI</t>
  </si>
  <si>
    <t>MEMÓRIA</t>
  </si>
  <si>
    <t>VENDAS-05</t>
  </si>
  <si>
    <t>SHEILA</t>
  </si>
  <si>
    <t>VENDAS</t>
  </si>
  <si>
    <t>WINDOWS 7</t>
  </si>
  <si>
    <t>7Q161Y1</t>
  </si>
  <si>
    <t>OPTPLEX 3010</t>
  </si>
  <si>
    <t>OPTIPLEX 330</t>
  </si>
  <si>
    <t>EMBALAGEM</t>
  </si>
  <si>
    <t>LUCAS</t>
  </si>
  <si>
    <t>ESTOQUE-03</t>
  </si>
  <si>
    <t>WINDOWS XP</t>
  </si>
  <si>
    <t>3SLKZF1</t>
  </si>
  <si>
    <t>ESTOQUE-21</t>
  </si>
  <si>
    <t>192.168.254.53</t>
  </si>
  <si>
    <t>9SLKZF1</t>
  </si>
  <si>
    <t>ORLANDO</t>
  </si>
  <si>
    <t>COMPRAS03</t>
  </si>
  <si>
    <t>192.168.254.15</t>
  </si>
  <si>
    <t>VENDAS-06</t>
  </si>
  <si>
    <t>COMPRAS-2</t>
  </si>
  <si>
    <t>192.168.254.25</t>
  </si>
  <si>
    <t>ESTOQUE-07</t>
  </si>
  <si>
    <t>192.168.254.77</t>
  </si>
  <si>
    <t>RH-03</t>
  </si>
  <si>
    <t>192.168.254.59</t>
  </si>
  <si>
    <t>VENDAS-08</t>
  </si>
  <si>
    <t>192.168.254.71</t>
  </si>
  <si>
    <t>VENDAS10</t>
  </si>
  <si>
    <t>VENDAS-11</t>
  </si>
  <si>
    <t>COMPRAS-02</t>
  </si>
  <si>
    <t>VENDAS-1</t>
  </si>
  <si>
    <t>VENDAS-04</t>
  </si>
  <si>
    <t>GX 620</t>
  </si>
  <si>
    <t>COMPRAS</t>
  </si>
  <si>
    <t>CJRTM91</t>
  </si>
  <si>
    <t>TI-10</t>
  </si>
  <si>
    <t>FLÁVIO</t>
  </si>
  <si>
    <t>POSITIVO</t>
  </si>
  <si>
    <t>GX 320</t>
  </si>
  <si>
    <t>RENAN</t>
  </si>
  <si>
    <t>SEPARAÇÃO</t>
  </si>
  <si>
    <t>34VB7D1</t>
  </si>
  <si>
    <t>EXPEDIÇÃO</t>
  </si>
  <si>
    <t>OPTIPLEX 3010</t>
  </si>
  <si>
    <t>BALCAO10</t>
  </si>
  <si>
    <t>ALVARO</t>
  </si>
  <si>
    <t>3R161Y1</t>
  </si>
  <si>
    <t>OPTIPLEX 380</t>
  </si>
  <si>
    <t>VENDAS-6</t>
  </si>
  <si>
    <t>9DWQ5P1</t>
  </si>
  <si>
    <t>MATHEUS</t>
  </si>
  <si>
    <t>RECEBIMENTO</t>
  </si>
  <si>
    <t>ESTOQUE-CABOS</t>
  </si>
  <si>
    <t>192.168.1254.46</t>
  </si>
  <si>
    <t>CABOS</t>
  </si>
  <si>
    <t>44VB7D1</t>
  </si>
  <si>
    <t>OSIAS</t>
  </si>
  <si>
    <t>MEZANINO</t>
  </si>
  <si>
    <t>779WQC1</t>
  </si>
  <si>
    <t>OPTIPLEX 3020</t>
  </si>
  <si>
    <t>FATURAMENTO-01</t>
  </si>
  <si>
    <t>FATURAMENTO</t>
  </si>
  <si>
    <t>3CJ8LZ1</t>
  </si>
  <si>
    <t>BALCAO-00</t>
  </si>
  <si>
    <t>BALCÃO</t>
  </si>
  <si>
    <t>WALLACE</t>
  </si>
  <si>
    <t>CUSTOS</t>
  </si>
  <si>
    <t>8DWQ5P1</t>
  </si>
  <si>
    <t>FABRÍCIO</t>
  </si>
  <si>
    <t>HDWQ5P1</t>
  </si>
  <si>
    <t>HD</t>
  </si>
  <si>
    <t>1TB</t>
  </si>
  <si>
    <t>LENOVO B490</t>
  </si>
  <si>
    <t>TI-04</t>
  </si>
  <si>
    <t>LUCIANO</t>
  </si>
  <si>
    <t>VOSTRO 260</t>
  </si>
  <si>
    <t>CONTASREC-02</t>
  </si>
  <si>
    <t>CONTAS A RECEBER</t>
  </si>
  <si>
    <t>D4BV6S1</t>
  </si>
  <si>
    <t>VENDAS-02</t>
  </si>
  <si>
    <t>VALÉRIO</t>
  </si>
  <si>
    <t>CDWQ5P1</t>
  </si>
  <si>
    <t>JORGE</t>
  </si>
  <si>
    <t>8M1JKH1</t>
  </si>
  <si>
    <t>ENGELUMEN-01</t>
  </si>
  <si>
    <t>192.168.254.50</t>
  </si>
  <si>
    <t>ANI</t>
  </si>
  <si>
    <t>5DWQ5P1</t>
  </si>
  <si>
    <t>VOSTRO 3550</t>
  </si>
  <si>
    <t>ENGENHARIA-01</t>
  </si>
  <si>
    <t>JEFFERSON</t>
  </si>
  <si>
    <t>25533V1</t>
  </si>
  <si>
    <t>EBGELUMEN</t>
  </si>
  <si>
    <t>AUTOMAÇÃO</t>
  </si>
  <si>
    <t>ANNA</t>
  </si>
  <si>
    <t>BDWQ5P1</t>
  </si>
  <si>
    <t>OP-03</t>
  </si>
  <si>
    <t>LUANA</t>
  </si>
  <si>
    <t>OPERAÇÕES</t>
  </si>
  <si>
    <t>GDWQ5P1</t>
  </si>
  <si>
    <t>OP-01</t>
  </si>
  <si>
    <t>192.168.254.82</t>
  </si>
  <si>
    <t>27261Y1</t>
  </si>
  <si>
    <t>OPTIPLEX 390</t>
  </si>
  <si>
    <t>25VL2V1</t>
  </si>
  <si>
    <t>CONTASPG-02</t>
  </si>
  <si>
    <t>JOSI</t>
  </si>
  <si>
    <t>CONTAS A PAGAR</t>
  </si>
  <si>
    <t>DM1CLZ1</t>
  </si>
  <si>
    <t>VENDAS-15</t>
  </si>
  <si>
    <t>192.168.254.61</t>
  </si>
  <si>
    <t>LILIANE</t>
  </si>
  <si>
    <t>G3N7CD2</t>
  </si>
  <si>
    <t>CONTASPG-01</t>
  </si>
  <si>
    <t>PATRICIA</t>
  </si>
  <si>
    <t>3C39LZ1</t>
  </si>
  <si>
    <t>RODRIGO</t>
  </si>
  <si>
    <t>G3LBCD2</t>
  </si>
  <si>
    <t>ESTER</t>
  </si>
  <si>
    <t>DDWQ5P1</t>
  </si>
  <si>
    <t>VOSTRO 3250</t>
  </si>
  <si>
    <t>WABNER</t>
  </si>
  <si>
    <t>SA.</t>
  </si>
  <si>
    <t>RAFAEL</t>
  </si>
  <si>
    <t>VENDAS-3</t>
  </si>
  <si>
    <t>7DWQ5P1</t>
  </si>
  <si>
    <t>RAFAELA</t>
  </si>
  <si>
    <t>CUSTO/CADASTRO</t>
  </si>
  <si>
    <t>FDWQ5P1</t>
  </si>
  <si>
    <t>OPTIPLEX 320</t>
  </si>
  <si>
    <t>CAMERAS-01</t>
  </si>
  <si>
    <t>GRAÇA</t>
  </si>
  <si>
    <t>CAMERAS</t>
  </si>
  <si>
    <t>54VB7D1</t>
  </si>
  <si>
    <t>TELEFONIA1</t>
  </si>
  <si>
    <t>TELEFONIA</t>
  </si>
  <si>
    <t>7F4JKH1</t>
  </si>
  <si>
    <t>8SLKZF1</t>
  </si>
  <si>
    <t>HARAS-02</t>
  </si>
  <si>
    <t>LACIELE</t>
  </si>
  <si>
    <t>HARAS</t>
  </si>
  <si>
    <t>1PTZL22</t>
  </si>
  <si>
    <t>CONTASREC-01</t>
  </si>
  <si>
    <t>SHEILA M</t>
  </si>
  <si>
    <t>F4BV6S1</t>
  </si>
  <si>
    <t>FISCAL-10</t>
  </si>
  <si>
    <t>192.168.254.62</t>
  </si>
  <si>
    <t>MAURICIO</t>
  </si>
  <si>
    <t>FISCAL</t>
  </si>
  <si>
    <t>25M23V1</t>
  </si>
  <si>
    <t>FISCAL-15</t>
  </si>
  <si>
    <t>5YTH6W1</t>
  </si>
  <si>
    <t>OPTIPLEX 780</t>
  </si>
  <si>
    <t>DIRETORIA01</t>
  </si>
  <si>
    <t>192.168.254.70</t>
  </si>
  <si>
    <t>JONATAS</t>
  </si>
  <si>
    <t>DIRETORIA</t>
  </si>
  <si>
    <t>BQRQ5P1</t>
  </si>
  <si>
    <t>ENGELUMEN-10</t>
  </si>
  <si>
    <t>JULIO</t>
  </si>
  <si>
    <t>ENGELUMEN</t>
  </si>
  <si>
    <t>25503V1</t>
  </si>
  <si>
    <t>DIRETORIA-02</t>
  </si>
  <si>
    <t>VERONICA</t>
  </si>
  <si>
    <t>8MMG6W1</t>
  </si>
  <si>
    <t>DIRETORIA-01</t>
  </si>
  <si>
    <t>5S3FF82</t>
  </si>
  <si>
    <t>OP-04</t>
  </si>
  <si>
    <t>CM1JKH1</t>
  </si>
  <si>
    <t>RH</t>
  </si>
  <si>
    <t>CRISTIANE</t>
  </si>
  <si>
    <t>INSPIRON 3647</t>
  </si>
  <si>
    <t>ENGELUMEN-02</t>
  </si>
  <si>
    <t>ANTÔNIO</t>
  </si>
  <si>
    <t>LENOVO 3314</t>
  </si>
  <si>
    <t>PENG314</t>
  </si>
  <si>
    <t>ENGELUMEN-05</t>
  </si>
  <si>
    <t>J7NC6W1</t>
  </si>
  <si>
    <t>192.168.254.60</t>
  </si>
  <si>
    <t>SITUAÇÃO</t>
  </si>
  <si>
    <t>USB</t>
  </si>
  <si>
    <t>VALMIR</t>
  </si>
  <si>
    <t>EQUIPAMENTO</t>
  </si>
  <si>
    <t>ROSA</t>
  </si>
  <si>
    <t>MARCELO</t>
  </si>
  <si>
    <t>CN52E5B2R5</t>
  </si>
  <si>
    <t>ANILIUCHE</t>
  </si>
  <si>
    <t>PATRÍCIA</t>
  </si>
  <si>
    <t>3º ANDAR</t>
  </si>
  <si>
    <t>ANA DANTAS</t>
  </si>
  <si>
    <t>192.168.254.31</t>
  </si>
  <si>
    <t>OPTIPLEX 3060</t>
  </si>
  <si>
    <t>DDM64W2</t>
  </si>
  <si>
    <t>DDM44W2</t>
  </si>
  <si>
    <t>OPTIPLEX 170L</t>
  </si>
  <si>
    <t>79Z6P91</t>
  </si>
  <si>
    <t>80GB</t>
  </si>
  <si>
    <t>DDL04W2</t>
  </si>
  <si>
    <t>HOZANA</t>
  </si>
  <si>
    <t>DDM04W2</t>
  </si>
  <si>
    <t>DDL64W2</t>
  </si>
  <si>
    <t>STATUS</t>
  </si>
  <si>
    <t>VAGO</t>
  </si>
  <si>
    <t>LOAD BALANCE</t>
  </si>
  <si>
    <t>MADIS</t>
  </si>
  <si>
    <t>PONTO ELETRÔNICO</t>
  </si>
  <si>
    <t>COMPRAS-01</t>
  </si>
  <si>
    <t>6DW05P1</t>
  </si>
  <si>
    <t>TI-01</t>
  </si>
  <si>
    <t>MARKETING</t>
  </si>
  <si>
    <t>ESTOQUE-02</t>
  </si>
  <si>
    <t>TROCAR HOST</t>
  </si>
  <si>
    <t>VENDAS-02 (GMR)</t>
  </si>
  <si>
    <t>MONIQUE</t>
  </si>
  <si>
    <t>VENDAS-16</t>
  </si>
  <si>
    <t>SEPARACAO-01</t>
  </si>
  <si>
    <t>E-MAIL</t>
  </si>
  <si>
    <t>SENHA</t>
  </si>
  <si>
    <t>sheila.maio@gmr.com.br</t>
  </si>
  <si>
    <t>PATRIMONIO</t>
  </si>
  <si>
    <t>LEIKSON</t>
  </si>
  <si>
    <t>GILBERTO</t>
  </si>
  <si>
    <t>GIAN</t>
  </si>
  <si>
    <t>SHEILA GARRIDO</t>
  </si>
  <si>
    <t>DC01</t>
  </si>
  <si>
    <t>SERVIDOR01</t>
  </si>
  <si>
    <t>ENGELUMEN-11</t>
  </si>
  <si>
    <t>DIOGO</t>
  </si>
  <si>
    <t>JANAINA</t>
  </si>
  <si>
    <t>GAIOLA</t>
  </si>
  <si>
    <t>BACKUP-05</t>
  </si>
  <si>
    <t>192.168.254.52</t>
  </si>
  <si>
    <t>APRENDIZ</t>
  </si>
  <si>
    <t>.00003</t>
  </si>
  <si>
    <t>.00021</t>
  </si>
  <si>
    <t>.00007</t>
  </si>
  <si>
    <t>.00033</t>
  </si>
  <si>
    <t>.00016</t>
  </si>
  <si>
    <t>.00010</t>
  </si>
  <si>
    <t>.00169</t>
  </si>
  <si>
    <t>.00019</t>
  </si>
  <si>
    <t>.00168</t>
  </si>
  <si>
    <t>.00047</t>
  </si>
  <si>
    <t>.00206</t>
  </si>
  <si>
    <t>.00216</t>
  </si>
  <si>
    <t>.00017</t>
  </si>
  <si>
    <t>.00201</t>
  </si>
  <si>
    <t>.00198</t>
  </si>
  <si>
    <t>.00214</t>
  </si>
  <si>
    <t>.00210</t>
  </si>
  <si>
    <t>.00009</t>
  </si>
  <si>
    <t>.00141</t>
  </si>
  <si>
    <t>.00006</t>
  </si>
  <si>
    <t>.00209</t>
  </si>
  <si>
    <t>.00204</t>
  </si>
  <si>
    <t>ENDPOINT</t>
  </si>
  <si>
    <t>BUSINESS</t>
  </si>
  <si>
    <t>TERREO</t>
  </si>
  <si>
    <t>marcelo.cerqueira@gmr.com.br</t>
  </si>
  <si>
    <t>AQ!SW@DE#FR$</t>
  </si>
  <si>
    <t>valerio.alves@gmr.com.br</t>
  </si>
  <si>
    <t>aq1sw2de3fr4</t>
  </si>
  <si>
    <t>anna.maria@gmr.com.br</t>
  </si>
  <si>
    <t>#Gmrq1w2e3.</t>
  </si>
  <si>
    <t>julio@gmr.com.br</t>
  </si>
  <si>
    <t>CN5533315S</t>
  </si>
  <si>
    <t>rodrigo@gmr.com.br</t>
  </si>
  <si>
    <t>aq1sw2de3</t>
  </si>
  <si>
    <t>jonatas@gmr.com.br</t>
  </si>
  <si>
    <t>ANDRESSA</t>
  </si>
  <si>
    <t>Gmrq1w2e3.</t>
  </si>
  <si>
    <t>diogo.santos@gmr.com.br</t>
  </si>
  <si>
    <t>ester.sa@gmr.com.br</t>
  </si>
  <si>
    <t>OPTIPLEX 7070</t>
  </si>
  <si>
    <t>4C6KD33</t>
  </si>
  <si>
    <t>.00218</t>
  </si>
  <si>
    <t>liliane.jorge@gmr.com.br</t>
  </si>
  <si>
    <t>4C5LD33</t>
  </si>
  <si>
    <t>.00221</t>
  </si>
  <si>
    <t>4C5MD33</t>
  </si>
  <si>
    <t>4C6FD33</t>
  </si>
  <si>
    <t>.00225</t>
  </si>
  <si>
    <t>.00227</t>
  </si>
  <si>
    <t>4C6CD33</t>
  </si>
  <si>
    <t>.00222</t>
  </si>
  <si>
    <t>gilberto.pedra@gmr.com.br</t>
  </si>
  <si>
    <t>rafaela@gmr.com.br</t>
  </si>
  <si>
    <t>monique.menezes@gmr.com.br</t>
  </si>
  <si>
    <t>jorge.luiz@gmr.com.br</t>
  </si>
  <si>
    <t>aniliuche@gmr.com.br</t>
  </si>
  <si>
    <t>.00008</t>
  </si>
  <si>
    <t>fabricio.carvalho@gmr.com.br</t>
  </si>
  <si>
    <t>maria.graca@gmr.com.br</t>
  </si>
  <si>
    <t>CAMERAS-03</t>
  </si>
  <si>
    <t>mauricio.almeida@gmr.com.br</t>
  </si>
  <si>
    <t>nf-e@gmr.com.br</t>
  </si>
  <si>
    <t>rosa.fernandes@gmr.com.br</t>
  </si>
  <si>
    <t>VENDAS-20</t>
  </si>
  <si>
    <t>FISCAL-04</t>
  </si>
  <si>
    <t>.00128</t>
  </si>
  <si>
    <t>janaina.valentim@gmr.com.br</t>
  </si>
  <si>
    <t>auditoria@gmr.com.br</t>
  </si>
  <si>
    <t>rafael.magalhaes@gmr.com.br</t>
  </si>
  <si>
    <t>COMPRAS-06</t>
  </si>
  <si>
    <t>wabner@gmr.com.br</t>
  </si>
  <si>
    <t>jhenyfer.bier@gmr.com.br</t>
  </si>
  <si>
    <t>q1w2e3r4</t>
  </si>
  <si>
    <t>josi.soares@gmr.com.br</t>
  </si>
  <si>
    <t>FLORA</t>
  </si>
  <si>
    <t>lucio.porto@gmr.com.br</t>
  </si>
  <si>
    <t>flora.morais@gmr.com.br</t>
  </si>
  <si>
    <t>suporte@gmr.com.br</t>
  </si>
  <si>
    <t>xml.nfe@gmr.com.br</t>
  </si>
  <si>
    <t>patricia@gmr.com.br</t>
  </si>
  <si>
    <t>sheila.garrido@gmr.com.br</t>
  </si>
  <si>
    <t>alvaro@gmr.com.br</t>
  </si>
  <si>
    <t>.00180</t>
  </si>
  <si>
    <t>ANTIVÍRUS</t>
  </si>
  <si>
    <t>valmir@gmr.com.br</t>
  </si>
  <si>
    <t>wandre.oliveira@gmr.com.br</t>
  </si>
  <si>
    <t>WANDRÉ</t>
  </si>
  <si>
    <t>THAINA</t>
  </si>
  <si>
    <t>ATIVO</t>
  </si>
  <si>
    <t>CONTASPG</t>
  </si>
  <si>
    <t>IDRAC-HM3DLZ1</t>
  </si>
  <si>
    <t>sa@gmr.com.br</t>
  </si>
  <si>
    <t>roberta.prazeres@gmr.com.br</t>
  </si>
  <si>
    <t>ROBERTA</t>
  </si>
  <si>
    <t>andressa.martins@gmr.com.br</t>
  </si>
  <si>
    <t>JANSEN</t>
  </si>
  <si>
    <t>OPTIPLEX 7080</t>
  </si>
  <si>
    <t>4ZWDWC3</t>
  </si>
  <si>
    <t>.00224</t>
  </si>
  <si>
    <t>WAGNER</t>
  </si>
  <si>
    <t>wagner.silva@gmr.com.br</t>
  </si>
  <si>
    <t>BROTHER DCP-8157DN</t>
  </si>
  <si>
    <t>NOVA SENHA2</t>
  </si>
  <si>
    <t>#Gmrp0o9i8u7.</t>
  </si>
  <si>
    <t>expedicao@gmr.com.br</t>
  </si>
  <si>
    <t>GMRPC-01</t>
  </si>
  <si>
    <t>.00178</t>
  </si>
  <si>
    <t>jansen@gmr.com.br</t>
  </si>
  <si>
    <t>cristiane.moraes@gmr.com.br</t>
  </si>
  <si>
    <t>luciano.carneiro@gmr.com.br</t>
  </si>
  <si>
    <t>laciele@gmr.com.br</t>
  </si>
  <si>
    <t>veronica@gmr.com.br</t>
  </si>
  <si>
    <t>antonio@gmr.com.br</t>
  </si>
  <si>
    <t>luana@gmr.com.br</t>
  </si>
  <si>
    <t>thaina.santos@gmr.com.br</t>
  </si>
  <si>
    <t>flávio.magno@gmr.com.br</t>
  </si>
  <si>
    <t>OBS</t>
  </si>
  <si>
    <t>ñ achei no inventário</t>
  </si>
  <si>
    <t>PACOTE OFFICE</t>
  </si>
  <si>
    <t>PCT OFFICE</t>
  </si>
  <si>
    <t>E-MAILS</t>
  </si>
  <si>
    <t>IP´S</t>
  </si>
  <si>
    <t>.00245</t>
  </si>
  <si>
    <t>2ZWDWC3</t>
  </si>
  <si>
    <t>.00247</t>
  </si>
  <si>
    <t>3ZWDWC3</t>
  </si>
  <si>
    <t>SERV MONTADO</t>
  </si>
  <si>
    <t>ADMINISTRADOR</t>
  </si>
  <si>
    <t>.00249</t>
  </si>
  <si>
    <t>.00250</t>
  </si>
  <si>
    <t>.00251</t>
  </si>
  <si>
    <t>500GB</t>
  </si>
  <si>
    <t>250GB</t>
  </si>
  <si>
    <t>OPTIPLEX GX620</t>
  </si>
  <si>
    <t>POWEREDGE 2900</t>
  </si>
  <si>
    <t>POWEREDGE T620</t>
  </si>
  <si>
    <t>Wandré Oliveira</t>
  </si>
  <si>
    <t>Wallacy Gomes</t>
  </si>
  <si>
    <t>Wagner Silva</t>
  </si>
  <si>
    <t>Wabner Gonçalves</t>
  </si>
  <si>
    <t>Veronica Leite</t>
  </si>
  <si>
    <t>Valmir Bezerra</t>
  </si>
  <si>
    <t>Valerio Alves</t>
  </si>
  <si>
    <t>treinamento@gmr.com.br</t>
  </si>
  <si>
    <t>Treinamento Jefferson Nunes</t>
  </si>
  <si>
    <t>thiago.estevam@gmr.com.br</t>
  </si>
  <si>
    <t>Thiago Estevam</t>
  </si>
  <si>
    <t>Thainá Batista dos Santos Maria</t>
  </si>
  <si>
    <t>technipfmc@gmr.com.br</t>
  </si>
  <si>
    <t>Technipfmc</t>
  </si>
  <si>
    <t>suporte1</t>
  </si>
  <si>
    <t>Suporte GMR</t>
  </si>
  <si>
    <t>Sheila Maio</t>
  </si>
  <si>
    <t>Sheila Garrido</t>
  </si>
  <si>
    <t>Carlos Sá</t>
  </si>
  <si>
    <t>Rosa Fernandes</t>
  </si>
  <si>
    <t>Rodrigo Inácio</t>
  </si>
  <si>
    <t>Roberta Prazeres</t>
  </si>
  <si>
    <t>Ricardo Azevedo</t>
  </si>
  <si>
    <t>recebimento@gmr.com.br</t>
  </si>
  <si>
    <t>Recebimento GMR</t>
  </si>
  <si>
    <t>Rafaela Oliveira</t>
  </si>
  <si>
    <t>Rafael Magalhães</t>
  </si>
  <si>
    <t>promocao@gmr.com.br</t>
  </si>
  <si>
    <t>promocao</t>
  </si>
  <si>
    <t>Pós Compras</t>
  </si>
  <si>
    <t>portal@gmr.com.br</t>
  </si>
  <si>
    <t>Portal GMR</t>
  </si>
  <si>
    <t>Patricia Leite</t>
  </si>
  <si>
    <t>Nf-e GMR</t>
  </si>
  <si>
    <t>Monique Magalhães Menezes</t>
  </si>
  <si>
    <t>Mauricio Almeida</t>
  </si>
  <si>
    <t>marketing@gmr.com.br</t>
  </si>
  <si>
    <t>Marketing GMR</t>
  </si>
  <si>
    <t>Maria Graça</t>
  </si>
  <si>
    <t>Marcelo Cerqueira</t>
  </si>
  <si>
    <t>Lucio da Silva Porto</t>
  </si>
  <si>
    <t>Luciano Carneiro</t>
  </si>
  <si>
    <t>luciana.rodrigues@gmr.com.br</t>
  </si>
  <si>
    <t>Luciana Rodrigues</t>
  </si>
  <si>
    <t>lucas.schimidth@gmr.com.br</t>
  </si>
  <si>
    <t>Lucas Schimidth</t>
  </si>
  <si>
    <t>Luana Santos</t>
  </si>
  <si>
    <t>Liliane Jorge</t>
  </si>
  <si>
    <t>lilian.araujo@gmr.com.br</t>
  </si>
  <si>
    <t>Lilian Araujo</t>
  </si>
  <si>
    <t>Laciele Correa</t>
  </si>
  <si>
    <t>kamilla@gmr.com.br</t>
  </si>
  <si>
    <t>Kamilla Soares</t>
  </si>
  <si>
    <t>Julio Cesar</t>
  </si>
  <si>
    <t>Josiane Soares</t>
  </si>
  <si>
    <t>Jorge Luiz</t>
  </si>
  <si>
    <t>Jonatas Dantas</t>
  </si>
  <si>
    <t>joao.mendonca@gmr.com.br</t>
  </si>
  <si>
    <t>João Mendonça</t>
  </si>
  <si>
    <t>Jhenyfer Bier</t>
  </si>
  <si>
    <t>jefferson@gmr.com.br</t>
  </si>
  <si>
    <t>Jefferson Nunes</t>
  </si>
  <si>
    <t>Jansen Dantas</t>
  </si>
  <si>
    <t>Janaina Valentim</t>
  </si>
  <si>
    <t>informativo@gmr.com.br</t>
  </si>
  <si>
    <t>Flavio Magno</t>
  </si>
  <si>
    <t>Gilberto Pedra</t>
  </si>
  <si>
    <t>gabriella@gmr.com.br</t>
  </si>
  <si>
    <t>Gabriella Dantas</t>
  </si>
  <si>
    <t>Gabriel Cunha</t>
  </si>
  <si>
    <t>Florentina Morais</t>
  </si>
  <si>
    <t>flavio.magno@gmr.com.br</t>
  </si>
  <si>
    <t>Fiscal GMR</t>
  </si>
  <si>
    <t>felipe.carvalho@gmr.com.br</t>
  </si>
  <si>
    <t>Felipe Carvalho</t>
  </si>
  <si>
    <t>Fabricio Carvalho</t>
  </si>
  <si>
    <t>Ester Sa</t>
  </si>
  <si>
    <t>diva gmr</t>
  </si>
  <si>
    <t>Diogo Santos</t>
  </si>
  <si>
    <t>depto.vendas@gmr.com.br</t>
  </si>
  <si>
    <t>Dpto Vendas</t>
  </si>
  <si>
    <t>ddns@gmr.com.br</t>
  </si>
  <si>
    <t>GMR GMR</t>
  </si>
  <si>
    <t>dayse.epp@gmr.com.br</t>
  </si>
  <si>
    <t>Dayse Epp</t>
  </si>
  <si>
    <t>dayse.cristina@gmr.com.br</t>
  </si>
  <si>
    <t>Dayse Cristina</t>
  </si>
  <si>
    <t>Cristiane Moraes</t>
  </si>
  <si>
    <t>contasapagar@gmr.com.br</t>
  </si>
  <si>
    <t>Patricia Pagar</t>
  </si>
  <si>
    <t>comunicado@gmr.com.br</t>
  </si>
  <si>
    <t>Comunicado</t>
  </si>
  <si>
    <t>Lucas</t>
  </si>
  <si>
    <t>claudio@gmr.com.br</t>
  </si>
  <si>
    <t>Luiz Claudio</t>
  </si>
  <si>
    <t>Antonio Rodrigues</t>
  </si>
  <si>
    <t>Anna Maria</t>
  </si>
  <si>
    <t>Aniliuche Rodrigues</t>
  </si>
  <si>
    <t>Andressa Martins</t>
  </si>
  <si>
    <t>ana.luca@gmr.com.br</t>
  </si>
  <si>
    <t>Ana Luca</t>
  </si>
  <si>
    <t>Alvaro Andrier</t>
  </si>
  <si>
    <r>
      <t>poscompras@gmr.com.br </t>
    </r>
    <r>
      <rPr>
        <b/>
        <sz val="9"/>
        <rFont val="Verdana"/>
        <family val="2"/>
      </rPr>
      <t>Monitorada</t>
    </r>
  </si>
  <si>
    <r>
      <t>fiscal@gmr.com.br </t>
    </r>
    <r>
      <rPr>
        <b/>
        <sz val="9"/>
        <rFont val="Verdana"/>
        <family val="2"/>
      </rPr>
      <t>Monitorada</t>
    </r>
  </si>
  <si>
    <r>
      <t>diva@gmr.com.br </t>
    </r>
    <r>
      <rPr>
        <b/>
        <sz val="9"/>
        <rFont val="Verdana"/>
        <family val="2"/>
      </rPr>
      <t>Monitorada</t>
    </r>
  </si>
  <si>
    <r>
      <t>coleta@gmr.com.br </t>
    </r>
    <r>
      <rPr>
        <b/>
        <sz val="9"/>
        <rFont val="Verdana"/>
        <family val="2"/>
      </rPr>
      <t>Monitorada</t>
    </r>
  </si>
  <si>
    <t>ANNA MARIA</t>
  </si>
  <si>
    <t>DESATIVADO</t>
  </si>
  <si>
    <t>gabriel@gmr.com.br Desativada</t>
  </si>
  <si>
    <t>wallacy@gmr.com.br Desativada</t>
  </si>
  <si>
    <t>SERVER2008R2</t>
  </si>
  <si>
    <t>VERSÕES</t>
  </si>
  <si>
    <t>QTD</t>
  </si>
  <si>
    <t>LICENÇAS PACOTE OFFICE</t>
  </si>
  <si>
    <t>HÉLIO</t>
  </si>
  <si>
    <t>192.168.254.92</t>
  </si>
  <si>
    <t>H&amp;B 2010</t>
  </si>
  <si>
    <t>financeiro@anadantasranch.com.br</t>
  </si>
  <si>
    <t>Kassiane</t>
  </si>
  <si>
    <t>Auditoria GMR (Sérgio)</t>
  </si>
  <si>
    <t>H&amp;B 2013</t>
  </si>
  <si>
    <t>BASIC 2007</t>
  </si>
  <si>
    <t>.00187</t>
  </si>
  <si>
    <t>.00234</t>
  </si>
  <si>
    <t>JÚLIO</t>
  </si>
  <si>
    <t>SÉRGIO</t>
  </si>
  <si>
    <t>SHEILA MAIO</t>
  </si>
  <si>
    <t>.00199</t>
  </si>
  <si>
    <t>RAMAL</t>
  </si>
  <si>
    <t>5806/5807</t>
  </si>
  <si>
    <t>5810/5815</t>
  </si>
  <si>
    <t>5804/5805</t>
  </si>
  <si>
    <t>5882/5830</t>
  </si>
  <si>
    <t>5812/5813</t>
  </si>
  <si>
    <t>5814/5841</t>
  </si>
  <si>
    <t>5831/5850</t>
  </si>
  <si>
    <t>5822/5823</t>
  </si>
  <si>
    <t>5827/5802</t>
  </si>
  <si>
    <t>5869/5803</t>
  </si>
  <si>
    <t>5848/5849</t>
  </si>
  <si>
    <t>5833/5837</t>
  </si>
  <si>
    <t>••••••••</t>
  </si>
  <si>
    <t>•••••••••</t>
  </si>
  <si>
    <t>Expedição - Leikson</t>
  </si>
  <si>
    <t>H&amp;B 2019</t>
  </si>
  <si>
    <t>laciele@gmr.com.br / financeiro@anadantasranch.com.br</t>
  </si>
  <si>
    <t>.00013</t>
  </si>
  <si>
    <t>H&amp;B 2016</t>
  </si>
  <si>
    <t>KMSEmulator.exe</t>
  </si>
  <si>
    <t>TIPO</t>
  </si>
  <si>
    <t>ANALÓGICO</t>
  </si>
  <si>
    <t>PATCH PANEL</t>
  </si>
  <si>
    <t>PORTA</t>
  </si>
  <si>
    <t>1HFD7D1</t>
  </si>
  <si>
    <t>2TB(2)</t>
  </si>
  <si>
    <t>HM3DLZ1</t>
  </si>
  <si>
    <t>1TB(2)</t>
  </si>
  <si>
    <t>WDEFENDER</t>
  </si>
  <si>
    <t>.00</t>
  </si>
  <si>
    <t>MARKING_DIGITAL</t>
  </si>
  <si>
    <t>SWITCH HP  1920-48G JG927A</t>
  </si>
  <si>
    <t>S/H</t>
  </si>
  <si>
    <t>ANTONIO</t>
  </si>
  <si>
    <t>FABRICIO</t>
  </si>
  <si>
    <t>JHENYFER</t>
  </si>
  <si>
    <t>HP LASERJET M1536</t>
  </si>
  <si>
    <t>PECPP84</t>
  </si>
  <si>
    <t>balcao@gmr.com.br</t>
  </si>
  <si>
    <t>LUCAS LEAL (TCHACA)</t>
  </si>
  <si>
    <t>192.168.254.11</t>
  </si>
  <si>
    <t>U63264C5N126289</t>
  </si>
  <si>
    <t>BALCAO</t>
  </si>
  <si>
    <t>SOLICITANTE</t>
  </si>
  <si>
    <t>RETIRADA</t>
  </si>
  <si>
    <t>ROTEADOR TP-LINK</t>
  </si>
  <si>
    <t>não alterada</t>
  </si>
  <si>
    <t>aq1sw2de4</t>
  </si>
  <si>
    <r>
      <t>ricardo.azevedo@gmr.com.br </t>
    </r>
    <r>
      <rPr>
        <sz val="9"/>
        <color rgb="FFFF0000"/>
        <rFont val="Verdana"/>
        <family val="2"/>
      </rPr>
      <t>Desativada</t>
    </r>
  </si>
  <si>
    <r>
      <t>suporte1@gmr.com.br </t>
    </r>
    <r>
      <rPr>
        <sz val="9"/>
        <color rgb="FFFF0000"/>
        <rFont val="Verdana"/>
        <family val="2"/>
      </rPr>
      <t>Desativada</t>
    </r>
  </si>
  <si>
    <t>Coluna1</t>
  </si>
  <si>
    <t>Lucas Leal (Tchaca)</t>
  </si>
  <si>
    <t>HOMOLOGAÇÃO</t>
  </si>
  <si>
    <t>PESSOAL</t>
  </si>
  <si>
    <t>DVR INTELBRAS</t>
  </si>
  <si>
    <t>.00131</t>
  </si>
  <si>
    <t>NOTEBOOK</t>
  </si>
  <si>
    <t>PARTICULAR</t>
  </si>
  <si>
    <t>N/C</t>
  </si>
  <si>
    <t>SERIAL OFFICE</t>
  </si>
  <si>
    <t>SERIAL S.O.</t>
  </si>
  <si>
    <t>KGNGF-JFRPP-2C6FT-DXRBH-X766P</t>
  </si>
  <si>
    <t>9DPC7-NB7T7-RK34K-C8P4T-VCGMT</t>
  </si>
  <si>
    <t>PRO PLUS 2019</t>
  </si>
  <si>
    <t>JN8MC-PHG7R-D9PMH-FB7Q2-6JHPT</t>
  </si>
  <si>
    <t>M3YN2-F8RXV-2QJ4Y-KP936-WXCKC</t>
  </si>
  <si>
    <t>AUDITORIA</t>
  </si>
  <si>
    <t>QNVTR-KFMHT-PCCD9-4HXBB-TXXVX</t>
  </si>
  <si>
    <t>VERSÃO</t>
  </si>
  <si>
    <t>OFFICE PROFESSIONAL PLUS 2019 ESD</t>
  </si>
  <si>
    <t>SERIAL</t>
  </si>
  <si>
    <t>OFFICE HOME &amp; BUSINESS 2019</t>
  </si>
  <si>
    <t>DATA COMPRA</t>
  </si>
  <si>
    <t>VALOR</t>
  </si>
  <si>
    <t>HRCNB-7TD9G-V83MP-YCKV7-GCRW6</t>
  </si>
  <si>
    <t>HNKQC-9JHY2-JQ2GT-YBD9K-8QM86</t>
  </si>
  <si>
    <t>OFFICE HOME &amp; BUSINESS 2016</t>
  </si>
  <si>
    <t>OFFICE HOME &amp; BUSINESS 2013</t>
  </si>
  <si>
    <t>OFFICE HOME &amp; BUSINESS 2010</t>
  </si>
  <si>
    <t>OFFICE HOME &amp; STUDENT 2010</t>
  </si>
  <si>
    <t>OFFICE BASIC 2007</t>
  </si>
  <si>
    <t>OFFICE BASIC 2003</t>
  </si>
  <si>
    <t>RF4HT-QNBDT-82PC8-VD8XV-2R6MT</t>
  </si>
  <si>
    <t>8DXJN-D84GK-RB9MG-J6DMJ-K2GMT</t>
  </si>
  <si>
    <t>M9FH7-BNDJB-QDDQD-KFBDV-7QX76</t>
  </si>
  <si>
    <t>KD98W-74N4B-M2CG7-KP8DH-WK976</t>
  </si>
  <si>
    <t>HNJWT-XHXM7-D9K8H-Q392P-2DJ8Q</t>
  </si>
  <si>
    <t>YQVDR-2NWWD-B9RFG-4THYF-F6X43</t>
  </si>
  <si>
    <t>TVN92-BFXRT-BGM29-XK7FD-JTWC3</t>
  </si>
  <si>
    <t>KTPD4-R3NKG-DQ76B-VBQ3W-F3G72</t>
  </si>
  <si>
    <t>VGNJ6-MQ3PG-RTYQ8-GM3DD-Y4DTP</t>
  </si>
  <si>
    <t>BXNCF-MY4W2-999M8-FWM8Q-628C2</t>
  </si>
  <si>
    <t>NMDM6-B8CFQ-BPWJQ-XM826-XP8C2</t>
  </si>
  <si>
    <t>NMJ24-7MK9Q-RVFVW-2VJQY-BBFP2</t>
  </si>
  <si>
    <t>XHRNF-PPG8Y-7G3VB-33WH9-8QHGP</t>
  </si>
  <si>
    <t>N6F9W-C37QD-8VQM9-X2QJK-9HGKC</t>
  </si>
  <si>
    <t>3QNXQ-HT7BP-8FPG3-W96QG-VCB22</t>
  </si>
  <si>
    <t>F3NYC-8HK69-RWHYT-TRXC2-DC8C2</t>
  </si>
  <si>
    <t>NHQ33-JHMYQ-9PDD4-8YG8X-RM2XC</t>
  </si>
  <si>
    <t>MFKG4-BWY48-W8K6Y-G2Q6J-WVM82</t>
  </si>
  <si>
    <t>QY24X-HFBWF-KVFR3-7Y747-DTXJV</t>
  </si>
  <si>
    <t>GMM2P-947XP-97Q63-P7WF3-K6MRR</t>
  </si>
  <si>
    <t>4CQ94-FR6Q6-D78B2-MPD36-4YDPB</t>
  </si>
  <si>
    <t>TVTJP-MG248-VPM38-CXGPJ-J27CF</t>
  </si>
  <si>
    <t>V3HHK-TWK2Q-HQY7M-T4D9J-GYX8Y</t>
  </si>
  <si>
    <t>BBM4W-VMWQV-W39DJ-CDQH6-P9M2Y</t>
  </si>
  <si>
    <t>GR8G9-9BC47-YYH2J-GY3DK-THFQ3</t>
  </si>
  <si>
    <t>TD8JC-JQ9KJ-RHC68-2YVB3-C6DVQ</t>
  </si>
  <si>
    <t>R9RMG-QK68M-VKMBD-G4CQM-PHWD3</t>
  </si>
  <si>
    <t>TJQ38-4GY8D-3D4MH-FJ9BM-YQ3VQ</t>
  </si>
  <si>
    <t>KKD3K-V98B8-4MRDJ-HGKCK-MCWD3</t>
  </si>
  <si>
    <t>PXTHG-VKRKC-YHBG4-XPP3Q-XBDVQ</t>
  </si>
  <si>
    <t>HCPXY-VD34J-CWRTX-32P6R-YKX7Q</t>
  </si>
  <si>
    <t>CH8RW-94KDB-3TW9V-F6PXP-BC7HQ</t>
  </si>
  <si>
    <t>H64XG-64KW9-GP6JH-GC7YK-Y7WD3</t>
  </si>
  <si>
    <t>GTM4W-XJTTP-D33MX-7PBF7-JH7HQ</t>
  </si>
  <si>
    <t>B62MH-TKR4M-QJHY4-Y23K8-G8XBD</t>
  </si>
  <si>
    <t>HPH9K-678Y6-69PWF-7YB48-FM6MD</t>
  </si>
  <si>
    <t>BDDYV-3RW73-QMT8J-9JJXD-HG6KQ</t>
  </si>
  <si>
    <t>GCHXV-RCQKF-GFKXG-KR4MW-W3K6Y</t>
  </si>
  <si>
    <t>WXCFV-RDTT9-HYBXM-2FYTM-VJRQD</t>
  </si>
  <si>
    <t>C9C6M-4FJKB-6XQ63-H7R39-4H2XM</t>
  </si>
  <si>
    <t>P8TCX-Q6VPF-9JWFH-TJ7D2-VJRQW</t>
  </si>
  <si>
    <t>MFVPX-XC36Q-KP9H7-PFXJ3-43W9Q</t>
  </si>
  <si>
    <t>QKWMP-RVDGB-TKH32-DQGYK-6D8DW</t>
  </si>
  <si>
    <t>HJ7C7-273WY-6J3RH-X2PBX-KGVG3</t>
  </si>
  <si>
    <t>CYJRF-XJWWB-VDVDQ-8PGXH-QB97J</t>
  </si>
  <si>
    <t>F97XV-7FH8R-DJFFD-MBK3G-9DRQW</t>
  </si>
  <si>
    <t>PFJBW-Q66BD-48VJP-G2G6J-HK89Q</t>
  </si>
  <si>
    <t>P44VR-2HDXH-9F24M-38BVQ-MDGKQ</t>
  </si>
  <si>
    <t>K972K-TMGVP-Q8CRV-6F2XJ-K27HJ</t>
  </si>
  <si>
    <t>V83V6-GQ88Y-DMV38-G62WR-WCJ98</t>
  </si>
  <si>
    <t>CBM3Y-YYMVM-F6FM8-JTD4K-TK898</t>
  </si>
  <si>
    <t>D3V3K-QBK7W-H2JHG-GDV46-9P2X8</t>
  </si>
  <si>
    <t>V9CB6-DRBXC-9P9XD-88GYR-M38DD</t>
  </si>
  <si>
    <t>WMWC4-PWGP4-3MD4M-WK6RB-HQ3TY</t>
  </si>
  <si>
    <t>D43QV-7CXGJ-VRDCB-XBKMD-RXDKB</t>
  </si>
  <si>
    <t>PWTGP-BC9TR-VHG2V-7BW4G-PHRGM</t>
  </si>
  <si>
    <t>WK9RQ-MFGDQ-QTMXF-D923R-CT69B</t>
  </si>
  <si>
    <t>PMC62-B3VCD-T466C-XVR6T-3C76M</t>
  </si>
  <si>
    <t>FFXMW-499JM-P4XDQ-M7FF2-YPRGM</t>
  </si>
  <si>
    <t>VHWDD-37DP7-YH3BH-6GJRK-3CKXB</t>
  </si>
  <si>
    <t>HM8HY-T3M2R-HXWCQ-C83WB-TBFGM</t>
  </si>
  <si>
    <t>GJ3WK-WCHYR-XCRVY-JHM3J-B2RGT</t>
  </si>
  <si>
    <t>HV8WT-GH2D8-FYMW9-62J7X-CBQKG</t>
  </si>
  <si>
    <t>WJKQJ-PWC73-DC7WD-V4WJC-W7GCY</t>
  </si>
  <si>
    <t>W4QT9-THC6X-BJ6Y9-BYCKR-HRPPY</t>
  </si>
  <si>
    <t>GQ9JP-FCKMR-KGD8K-7BBCG-8TV6M</t>
  </si>
  <si>
    <t>K2VKB-H9HFM-DWKKC-FB2W6-JWXXB</t>
  </si>
  <si>
    <t>BTYWK-BKB8J-YMJ4D-G7QRP-B9DKB</t>
  </si>
  <si>
    <t>GC7FB-WRGPQ-XWF6X-V2TH2-P9DKB</t>
  </si>
  <si>
    <t>D93GG-3D6CG-X927F-FW6W8-F4PPY</t>
  </si>
  <si>
    <t>EM USO</t>
  </si>
  <si>
    <t>YQHHV-9NR3D-DTWHH-T4YMP-W2QPP</t>
  </si>
  <si>
    <t>CNQBT-KVP7R-W2BMG-RD4T2-JB6BK</t>
  </si>
  <si>
    <t>NF</t>
  </si>
  <si>
    <t>22G2N-JXB6X-TGYHT-KJ484-VMH22</t>
  </si>
  <si>
    <t>K2BH6-6NBWC-97FW9-4M3VM-FGDGP</t>
  </si>
  <si>
    <t>TVYGJ-3NC96-GPTJ4-JQH2Q-TCQGP</t>
  </si>
  <si>
    <t>LUIS HENRIQUE</t>
  </si>
  <si>
    <t>lucas.leal@gmr.com.br</t>
  </si>
  <si>
    <t>VENDAS-09</t>
  </si>
  <si>
    <t>V4TXP-D24Y6-GQ4YD-YMMD8-HJ6PV</t>
  </si>
  <si>
    <t>TNP8Y-2KYD4-XFFRP-HMMPT-23722</t>
  </si>
  <si>
    <t>LUCAS LEAL</t>
  </si>
  <si>
    <t>CONTASPAG</t>
  </si>
  <si>
    <t>U63264L4N916725</t>
  </si>
  <si>
    <t>WIN10</t>
  </si>
  <si>
    <t>WIN7</t>
  </si>
  <si>
    <t>REQUISITO</t>
  </si>
  <si>
    <t>WINXP</t>
  </si>
  <si>
    <t>KKBFX-NCKCB-633M3-GKP4K-8QM86</t>
  </si>
  <si>
    <t>RNJF4-HB36H-4XMKF-GMBVV-FJTTG</t>
  </si>
  <si>
    <t>RECEBIMENTO-01</t>
  </si>
  <si>
    <t>F4QCV-X9BGB-JDCC9-DP4M8-9MXXT</t>
  </si>
  <si>
    <t>ENG-02</t>
  </si>
  <si>
    <t>ENGENHARIA</t>
  </si>
  <si>
    <t>magno.reis@gmr.com.br</t>
  </si>
  <si>
    <t>andressa.cindra@gmr.com.br</t>
  </si>
  <si>
    <t>PRINT-ENG</t>
  </si>
  <si>
    <t>Andressa Cindra</t>
  </si>
  <si>
    <t>Magno Reis</t>
  </si>
  <si>
    <t>5876/5879</t>
  </si>
  <si>
    <t>Paulo Cesar Souza Pinheiro</t>
  </si>
  <si>
    <t>paulo.pinheiro@gmr.com.br</t>
  </si>
  <si>
    <t>!#Gmrp0o9i8u7.</t>
  </si>
  <si>
    <t>alterada em 05.07.21</t>
  </si>
  <si>
    <t>DATA SOLICITAÇÃO</t>
  </si>
  <si>
    <t>DATA ENTREGA</t>
  </si>
  <si>
    <t>MODELO TONER</t>
  </si>
  <si>
    <t>QTD SOLICITADA</t>
  </si>
  <si>
    <t>CB435A/CB436A/CE285A/CE278A Universal</t>
  </si>
  <si>
    <t>QTD RECEBIDA</t>
  </si>
  <si>
    <t>QTD ESTOQUE</t>
  </si>
  <si>
    <t>FORNECEDOR</t>
  </si>
  <si>
    <t>TOTAL</t>
  </si>
  <si>
    <t>M2 SSD 256</t>
  </si>
  <si>
    <t>SSD 240 KNG</t>
  </si>
  <si>
    <t>SSD 480 KNG</t>
  </si>
  <si>
    <t>SSD 240 WD</t>
  </si>
  <si>
    <t>MAGNO REIS</t>
  </si>
  <si>
    <t>SSD 960(2) KNG</t>
  </si>
  <si>
    <t>M2 SSD 512</t>
  </si>
  <si>
    <t>VOSTRO 3681</t>
  </si>
  <si>
    <t>1Q1HYF3</t>
  </si>
  <si>
    <t>2Q1HYF3</t>
  </si>
  <si>
    <t>JP1HYF3</t>
  </si>
  <si>
    <t>TI-02</t>
  </si>
  <si>
    <t>.00253</t>
  </si>
  <si>
    <t>.00254</t>
  </si>
  <si>
    <t>.00255</t>
  </si>
  <si>
    <t>VENDAS-01</t>
  </si>
  <si>
    <t>192.168.254.96</t>
  </si>
  <si>
    <t>192.168.254.97</t>
  </si>
  <si>
    <t>192.168.254.98</t>
  </si>
  <si>
    <t>VENDAS-03</t>
  </si>
  <si>
    <t>V74XN-Q7BRM-K83BW-V3YV9-T84Q9</t>
  </si>
  <si>
    <t>OFFICE HOME &amp; BUSINESS 2019 - DIGITAL</t>
  </si>
  <si>
    <t>W4NH9-Q6WF7-9RHPP-8TMKP-TMWD9</t>
  </si>
  <si>
    <t>BJXBC-9PN8K-YC34P-HYQP9-BKPYK</t>
  </si>
  <si>
    <t>3TNHM-G9R76-CW3B7-KYPF7-DRR9C</t>
  </si>
  <si>
    <t>DPGJM-TNBKH-XH8TQ-JB3QT-V6DGP</t>
  </si>
  <si>
    <t>JWF6N-JMPHQ-2V9P7-QPY3P-4RG6P</t>
  </si>
  <si>
    <t>C8KHJ-YTJTQ-RT7QG-KJ92H-WMDFT</t>
  </si>
  <si>
    <t>SÁ.</t>
  </si>
  <si>
    <t>OP-02</t>
  </si>
  <si>
    <t>6DWQ5P1</t>
  </si>
  <si>
    <t>32KD2-K9CTF-M3DJT-4J3WC-733WD</t>
  </si>
  <si>
    <t>.00052</t>
  </si>
  <si>
    <t>83WTK-RMXP6-2M87Y-7D8KC-F9C6X</t>
  </si>
  <si>
    <t>PROBOOK 4320S</t>
  </si>
  <si>
    <t>BRG125FKGR</t>
  </si>
  <si>
    <t>6RM3F-WKQXG-T9P7W-YW2MC-4JFGF</t>
  </si>
  <si>
    <t>192.168.254.88</t>
  </si>
  <si>
    <t>KG2XG-3M794-GDXM4-8JD33-3VVVY</t>
  </si>
  <si>
    <t>2TJXD-HKQ4K-D7W66-TYJC6-JB4BM</t>
  </si>
  <si>
    <t>SÁ</t>
  </si>
  <si>
    <t>8DGNX–WMQYT–W6GWC–HPTPG–9KT7Q</t>
  </si>
  <si>
    <t>DHCP</t>
  </si>
  <si>
    <t>D2HD2-BCNM6-64D23-8C29H-B7V22</t>
  </si>
  <si>
    <t>FATURAMENTO-02</t>
  </si>
  <si>
    <t>.00208</t>
  </si>
  <si>
    <t>XML NFE</t>
  </si>
  <si>
    <t>CARLOS RENE</t>
  </si>
  <si>
    <t>XF4FM-GH9Y6-HR664-7FMXJ-VFR6D</t>
  </si>
  <si>
    <t>FFFYR-T28FC-HV4C6-P8QPK-TFK8W</t>
  </si>
  <si>
    <t>PONCIANO</t>
  </si>
  <si>
    <t>.00004</t>
  </si>
  <si>
    <t>BQTK3-82XT2-HJB7R-CB4GR-MB8JV</t>
  </si>
  <si>
    <t>ROBERTA (8DWQ5P1)</t>
  </si>
  <si>
    <t>JHENIFER (DDWQ5P1)</t>
  </si>
  <si>
    <t>ANTÔNIO (PECPP84)</t>
  </si>
  <si>
    <t>VALMIR (1PTZL22)</t>
  </si>
  <si>
    <t>GAIOLA (BDWQ5P1)</t>
  </si>
  <si>
    <t>SÉRGIO (4C5MD33)</t>
  </si>
  <si>
    <t>GILBERTO (4C6CD33)</t>
  </si>
  <si>
    <t>LILIANE (4C6KD33)</t>
  </si>
  <si>
    <t>WAGNER  (4ZWDWC3)</t>
  </si>
  <si>
    <t>HOMOLOGAÇÃO (2ZWDWC3)</t>
  </si>
  <si>
    <t>ANNA MARIA (3ZWDWC3)</t>
  </si>
  <si>
    <t>FABRICIO (1Q1HYF3)</t>
  </si>
  <si>
    <t>SÁ. (2Q1HYF3)</t>
  </si>
  <si>
    <t>ESTER (JP1HYF3)</t>
  </si>
  <si>
    <t>VALÉRIO (4C6FD33)</t>
  </si>
  <si>
    <t>JONATAS (DDM64W2)</t>
  </si>
  <si>
    <t>6YTYX-NKMJR-32FDG-PV8G9-GJF9C</t>
  </si>
  <si>
    <t>.00170</t>
  </si>
  <si>
    <t>FF7WJ-YVYHP-HVXG6-KDDJ6-4HXJY</t>
  </si>
  <si>
    <t>FELIPE</t>
  </si>
  <si>
    <t>.00012</t>
  </si>
  <si>
    <t>TWMGM-34MR3-V9994-62VC7-XFYKB</t>
  </si>
  <si>
    <t>.00252</t>
  </si>
  <si>
    <t>BASIC 2003</t>
  </si>
  <si>
    <t>P4B6R-FGCDC-WXJKM-4KCTJ-JTR4T</t>
  </si>
  <si>
    <t>.00171</t>
  </si>
  <si>
    <t>MONTADO</t>
  </si>
  <si>
    <t>EQUINOVIDA</t>
  </si>
  <si>
    <t>2WCJK-R8B4Y-CWRF2-TRJKB-PV9HW</t>
  </si>
  <si>
    <t>AVAST FREE</t>
  </si>
  <si>
    <t>DESKTOP-PC</t>
  </si>
  <si>
    <t>ACÁCIA</t>
  </si>
  <si>
    <t>.00203</t>
  </si>
  <si>
    <t>GPRMJ-8H3JX-MQVDR-HP4QG-4QMCW</t>
  </si>
  <si>
    <t>(25VL2V1)</t>
  </si>
  <si>
    <t>GARANTIA</t>
  </si>
  <si>
    <t>COMPRA</t>
  </si>
  <si>
    <t>VOSTRO 260S</t>
  </si>
  <si>
    <t>IDADE</t>
  </si>
  <si>
    <t>.00215</t>
  </si>
  <si>
    <t>AHGORA</t>
  </si>
  <si>
    <t>YX3BW-XHNPD-2YJ83-QB3PD-C3726</t>
  </si>
  <si>
    <t>PRINT-VENDAS01</t>
  </si>
  <si>
    <t>RECEBIMENTO-02</t>
  </si>
  <si>
    <t>YG2FX-R6Y8D-H6YQH-CW963-46Y7V</t>
  </si>
  <si>
    <t>auditoria@gmr.com.br/sergio@gmr.com.br</t>
  </si>
  <si>
    <t>2RD36-NY7GP-KG2P9-93HFP-XTPKC</t>
  </si>
  <si>
    <t>BTX4B-RGMMW-88PJC-W4HVV-384GR</t>
  </si>
  <si>
    <t>VERONICA (G3LBCD2)</t>
  </si>
  <si>
    <t>PROCESSADOR</t>
  </si>
  <si>
    <t>Intel Core i5-2450M (2C/4T, 2.5GHz, 3M Cache) 2nd generation</t>
  </si>
  <si>
    <t>Intel Core i3-4130 (Dual Core, 3MB Cache, 3.40 GHz, w/HD4400 Graphics)</t>
  </si>
  <si>
    <t>Intel Core i5-3470 (Quad Core, 6MB, 3.20GH z w/HD2500 Graphics) 3rd Gen</t>
  </si>
  <si>
    <t>Intel Core i7-8700 (6 Cores/12MB/12T/up to 4.6GHz/65W)</t>
  </si>
  <si>
    <t>Intel Core 2 Duo E7500 with VT/2.93GHz,3M,1066FSB</t>
  </si>
  <si>
    <t>Intel Core i3-6100 (3MB Cache, 3.70 GHz) 6th Generation</t>
  </si>
  <si>
    <t>Intel Core i7-9700 (8 Cores/12MB/8T/3.0GHz to 4.7GHz/65W)</t>
  </si>
  <si>
    <t xml:space="preserve">Intel Core i5-3470 (Quad Core, 6MB, 3.20GH z w/HD2500 Graphics) 3rd Gen </t>
  </si>
  <si>
    <t>Intel Core 2 Quad, 9650/ 3.0GHz, 12M, 1333FSB</t>
  </si>
  <si>
    <t>Intel Core i5-4590 (Quad Core, 3.30GHz Turbo, 6MB, w/ HD Graphics 4600)</t>
  </si>
  <si>
    <t>Pentium Dual Core E2160/1.8GHz,1M 800FSB</t>
  </si>
  <si>
    <t>Intel Xeon E5310 1.60ghz</t>
  </si>
  <si>
    <t>Intel Xeon E-2609 v2 2.50Ghz</t>
  </si>
  <si>
    <t>Intel Xeon X3330 2.66Ghz</t>
  </si>
  <si>
    <t>Intel Core i3-2100 (3 MB Cache, 3.10GHz)</t>
  </si>
  <si>
    <t>Intel Core i3-2120 (3M, 3.30GHz) 2nd Gen</t>
  </si>
  <si>
    <t>Intel Core i7-10700 (8 Cores/16MB/16T/2.9GHz to 4.8GHz/65W) 10th Gen</t>
  </si>
  <si>
    <t>Intel Core i3-3110M (2.4GHz 3MB) 3rd generation</t>
  </si>
  <si>
    <t>Intel Core i3-4160 (3M, 3.60GHz) 4nd Gen</t>
  </si>
  <si>
    <t>Intel Core i3-2100 (3 MB Cache, 3.10GHz) 2nd Gen</t>
  </si>
  <si>
    <t>Intel Core i7-9700 (8 Cores/12MB/8T/3.0GHz to 4.7GHz/65W) 9 gen</t>
  </si>
  <si>
    <t>SWITCH</t>
  </si>
  <si>
    <t>ANDAR</t>
  </si>
  <si>
    <t>REDE/USB</t>
  </si>
  <si>
    <t>PB/CL</t>
  </si>
  <si>
    <t>MARCA</t>
  </si>
  <si>
    <t>N.SÉRIE</t>
  </si>
  <si>
    <t>REDE</t>
  </si>
  <si>
    <t>PB</t>
  </si>
  <si>
    <t>LASERJET MULTIFUNCIONAL</t>
  </si>
  <si>
    <t>BROTHER</t>
  </si>
  <si>
    <t>DCP-8157DN</t>
  </si>
  <si>
    <t>SCG000172</t>
  </si>
  <si>
    <t>LASERJET</t>
  </si>
  <si>
    <t>HP</t>
  </si>
  <si>
    <t>P1005</t>
  </si>
  <si>
    <t>GMR00133</t>
  </si>
  <si>
    <t>P1102w</t>
  </si>
  <si>
    <t>SCG000377</t>
  </si>
  <si>
    <t>GMR00087</t>
  </si>
  <si>
    <t>P1102</t>
  </si>
  <si>
    <t>SCG000084</t>
  </si>
  <si>
    <t>CARLOS</t>
  </si>
  <si>
    <t>P1505</t>
  </si>
  <si>
    <t>GMR00258</t>
  </si>
  <si>
    <t>M1536DNF</t>
  </si>
  <si>
    <t>SCG000252</t>
  </si>
  <si>
    <t>SCG000161</t>
  </si>
  <si>
    <t>P1505N</t>
  </si>
  <si>
    <t>SCG000030</t>
  </si>
  <si>
    <t>SCG000255</t>
  </si>
  <si>
    <t>GMR00096</t>
  </si>
  <si>
    <t>CL</t>
  </si>
  <si>
    <t>DESKJET INK ADVANTAGE</t>
  </si>
  <si>
    <t>GMR00260</t>
  </si>
  <si>
    <t>M1132MFP</t>
  </si>
  <si>
    <t>SCG000090</t>
  </si>
  <si>
    <t>GMR00093</t>
  </si>
  <si>
    <t>SCG000257</t>
  </si>
  <si>
    <t>ORG PÚBLICOS</t>
  </si>
  <si>
    <t>SCG000081</t>
  </si>
  <si>
    <t>SCG000013</t>
  </si>
  <si>
    <t>CONTASREC</t>
  </si>
  <si>
    <t>M1120MFP</t>
  </si>
  <si>
    <t>SCG000210</t>
  </si>
  <si>
    <t>SCG000083</t>
  </si>
  <si>
    <t>SCG000160</t>
  </si>
  <si>
    <t>GMR00261</t>
  </si>
  <si>
    <t>VERÔNICA</t>
  </si>
  <si>
    <t>ECOTANK MULTIFUNCIONAL</t>
  </si>
  <si>
    <t>EPSON</t>
  </si>
  <si>
    <t>L3150</t>
  </si>
  <si>
    <t>GMR00262</t>
  </si>
  <si>
    <t>CANON</t>
  </si>
  <si>
    <t>G3010</t>
  </si>
  <si>
    <t>GMR00263</t>
  </si>
  <si>
    <t>I         M         P         R         E         S         S         O         R         A         S</t>
  </si>
  <si>
    <t>ETIQUETA - RIBON</t>
  </si>
  <si>
    <t>ETIQUETA - TÉRMICA</t>
  </si>
  <si>
    <t>QL-800</t>
  </si>
  <si>
    <t>ZEBRA</t>
  </si>
  <si>
    <t>ZD220</t>
  </si>
  <si>
    <t>GMR00264</t>
  </si>
  <si>
    <t>GMR00265</t>
  </si>
  <si>
    <t>D5N204700057</t>
  </si>
  <si>
    <t>U65294E0Z367836</t>
  </si>
  <si>
    <t>BRBS93S05L</t>
  </si>
  <si>
    <t>U63264K5N314206</t>
  </si>
  <si>
    <t>.00231</t>
  </si>
  <si>
    <t>DCP-L5652DN</t>
  </si>
  <si>
    <t>PRINT-VENDAS</t>
  </si>
  <si>
    <t>VENDEDORES</t>
  </si>
  <si>
    <t>FUNCIONÁRIO</t>
  </si>
  <si>
    <t>LOGIN REDE</t>
  </si>
  <si>
    <t>gilberto</t>
  </si>
  <si>
    <t>janaina</t>
  </si>
  <si>
    <t>alvaro</t>
  </si>
  <si>
    <t>ester.sa</t>
  </si>
  <si>
    <t>wabner</t>
  </si>
  <si>
    <t>fabricio</t>
  </si>
  <si>
    <t>sheila.garrido</t>
  </si>
  <si>
    <t>anna</t>
  </si>
  <si>
    <t>marcelo</t>
  </si>
  <si>
    <t>flora</t>
  </si>
  <si>
    <t>lucas.leal</t>
  </si>
  <si>
    <t>valerio.alves</t>
  </si>
  <si>
    <t>liliane</t>
  </si>
  <si>
    <t>Jansen</t>
  </si>
  <si>
    <t>jonatas</t>
  </si>
  <si>
    <t>veronica</t>
  </si>
  <si>
    <t>auditoria</t>
  </si>
  <si>
    <t>patricia</t>
  </si>
  <si>
    <t>laciele</t>
  </si>
  <si>
    <t>rafael.magalhaes</t>
  </si>
  <si>
    <t>antonio</t>
  </si>
  <si>
    <t>acacia.rocha</t>
  </si>
  <si>
    <t>thaina</t>
  </si>
  <si>
    <t>sheilamaio</t>
  </si>
  <si>
    <t>sa</t>
  </si>
  <si>
    <t>BRCSF8Q4D2</t>
  </si>
  <si>
    <t>GMR00266</t>
  </si>
  <si>
    <t>U64198H1N700316</t>
  </si>
  <si>
    <t>.00197</t>
  </si>
  <si>
    <t>jhenyfer</t>
  </si>
  <si>
    <t>wandre</t>
  </si>
  <si>
    <t>estoque</t>
  </si>
  <si>
    <t>valmir</t>
  </si>
  <si>
    <t>Administrador</t>
  </si>
  <si>
    <t>Suporte</t>
  </si>
  <si>
    <t>WINDOWS 11</t>
  </si>
  <si>
    <t>antigo</t>
  </si>
  <si>
    <t>SENHA BROTHER</t>
  </si>
  <si>
    <t>.0040</t>
  </si>
  <si>
    <t>.0858</t>
  </si>
  <si>
    <t>.0535</t>
  </si>
  <si>
    <t>.0425</t>
  </si>
  <si>
    <t>.0557</t>
  </si>
  <si>
    <t>.0786</t>
  </si>
  <si>
    <t>.0531</t>
  </si>
  <si>
    <t>Luana</t>
  </si>
  <si>
    <t>SCG000369</t>
  </si>
  <si>
    <t>LUIZ</t>
  </si>
  <si>
    <t>SCG000383</t>
  </si>
  <si>
    <t>BRBSB3H06V</t>
  </si>
  <si>
    <t>BRFSG9302J</t>
  </si>
  <si>
    <t>BRFSG9302F</t>
  </si>
  <si>
    <t>192.168.254.51</t>
  </si>
  <si>
    <t>U63264L4N16725</t>
  </si>
  <si>
    <t>PRINT-AD</t>
  </si>
  <si>
    <t>JOÃO VICTOR</t>
  </si>
  <si>
    <t>5847/5865</t>
  </si>
  <si>
    <t>joao</t>
  </si>
  <si>
    <t>NÃO ATIVA (VIA INTERNET/TELEFONE</t>
  </si>
  <si>
    <t>YPQFN-PHY33-7Y8R8-T4X3Y-X4VPT</t>
  </si>
  <si>
    <t>SPEED</t>
  </si>
  <si>
    <t>NOTE-TI02</t>
  </si>
  <si>
    <t>SSD 240 WR</t>
  </si>
  <si>
    <t>SEPARACAO-02</t>
  </si>
  <si>
    <t>BALCAO-01</t>
  </si>
  <si>
    <t>WANDRE</t>
  </si>
  <si>
    <t>NF6HC-QH89W-F8WYV-WWXV4-WFG6P</t>
  </si>
  <si>
    <t>LENOVO (PENG314) TI</t>
  </si>
  <si>
    <t>N/C DELL</t>
  </si>
  <si>
    <t>RAFAEL (DDL04W2)</t>
  </si>
  <si>
    <t>TELL (HDWQ5P1)</t>
  </si>
  <si>
    <t>PC-EQUINOVIDA</t>
  </si>
  <si>
    <t>TN3472/TN880 Universal (BROTHER L5652)</t>
  </si>
  <si>
    <t>DIEGO DLRM - WHATSAPP</t>
  </si>
  <si>
    <t>KIT FOTOCONDUTOR DR820/880/890 DR3440/5000</t>
  </si>
  <si>
    <t>OFFICE PROFESSIONAL 2010</t>
  </si>
  <si>
    <t>VYBBJ-TRJPB-QFQRF-QFT4D-H3GVB</t>
  </si>
  <si>
    <t>(8SLKZF1)</t>
  </si>
  <si>
    <t>VERIFICAR</t>
  </si>
  <si>
    <t>RECEBIMENTO-2</t>
  </si>
  <si>
    <t>WINDOWS VISTA</t>
  </si>
  <si>
    <t>368Y7-49YMQ-VRCTY-3V3RH-WRMG7</t>
  </si>
  <si>
    <t>RECEPÇÃO</t>
  </si>
  <si>
    <t>.00027</t>
  </si>
  <si>
    <t>GK733-VW2DW-KKHF7-RVVXY-638DH</t>
  </si>
  <si>
    <t>EQUINOVIDA-PC</t>
  </si>
  <si>
    <t>PC-EQUINOVIDA (7F4JKH1)</t>
  </si>
  <si>
    <t>RESGATAR ONLINE</t>
  </si>
  <si>
    <t>5867/5868</t>
  </si>
  <si>
    <t>tiago.areias@gmr.com.br</t>
  </si>
  <si>
    <t>tiago.areias</t>
  </si>
  <si>
    <t>TIAGO</t>
  </si>
  <si>
    <t>SCG000162</t>
  </si>
  <si>
    <t>BRBSB3K081</t>
  </si>
  <si>
    <t>RUIM Ñ LIGA</t>
  </si>
  <si>
    <t>recepcao@gmr.com.br</t>
  </si>
  <si>
    <t>recepcionista</t>
  </si>
  <si>
    <t>Recepcionista</t>
  </si>
  <si>
    <t>VENDEDOR</t>
  </si>
  <si>
    <t>CONTATO</t>
  </si>
  <si>
    <t>9QYNR-CT8YM-KQJHB-W82PK-MG9TP</t>
  </si>
  <si>
    <t>EMAIL</t>
  </si>
  <si>
    <t>vendasgmr1@gmail.com</t>
  </si>
  <si>
    <t>vendasgmr2@gmail.com</t>
  </si>
  <si>
    <t>vendasgmr3@gmail.com</t>
  </si>
  <si>
    <t>vendasgmr4@gmail.com</t>
  </si>
  <si>
    <t>vendasgmr5@gmail.com</t>
  </si>
  <si>
    <t>vendasgmr6@gmail.com</t>
  </si>
  <si>
    <t>vendasgmr7@gmail.com</t>
  </si>
  <si>
    <t>vendasgmr8@gmail.com</t>
  </si>
  <si>
    <t>vendasgmr9@gmail.com</t>
  </si>
  <si>
    <t>vendasgmr10@gmail.com</t>
  </si>
  <si>
    <t>vendasgmr11@gmail.com</t>
  </si>
  <si>
    <t>vendasgmr12@gmail.com</t>
  </si>
  <si>
    <t>vendasgmr13@gmail.com</t>
  </si>
  <si>
    <t>#_wH@ts.</t>
  </si>
  <si>
    <t>Intel Core i3-370M (2.4GHz 3MB) 1rd generation</t>
  </si>
  <si>
    <t>ENGELUMEN-03</t>
  </si>
  <si>
    <t>ANÍLIA (D4BV6S1)</t>
  </si>
  <si>
    <t>ANILIA RODRIGUES</t>
  </si>
  <si>
    <t>LUCIANA</t>
  </si>
  <si>
    <t>luciana@gmr.com.br</t>
  </si>
  <si>
    <t>Luciana</t>
  </si>
  <si>
    <t>.0755</t>
  </si>
  <si>
    <t>GALPÃO</t>
  </si>
  <si>
    <t>ALMOXARIFADO</t>
  </si>
  <si>
    <t>NUMERO</t>
  </si>
  <si>
    <t>PLANO</t>
  </si>
  <si>
    <t>EMPRESA</t>
  </si>
  <si>
    <t>ENTREGUE</t>
  </si>
  <si>
    <t>CHIP</t>
  </si>
  <si>
    <t>novo</t>
  </si>
  <si>
    <t>PROJETO</t>
  </si>
  <si>
    <t>SMART</t>
  </si>
  <si>
    <t>CLARO LIFE ILIMITADO 3GIGA</t>
  </si>
  <si>
    <t>WHATSAPP</t>
  </si>
  <si>
    <t>GMR</t>
  </si>
  <si>
    <t>MOTORISTA</t>
  </si>
  <si>
    <t>LEVIR</t>
  </si>
  <si>
    <t>ROBERTO</t>
  </si>
  <si>
    <t>C. A PAGAR</t>
  </si>
  <si>
    <t>RESPONSÁVEL</t>
  </si>
  <si>
    <t>Item</t>
  </si>
  <si>
    <t>ENTRADA/SAIDA</t>
  </si>
  <si>
    <t>GMR 01</t>
  </si>
  <si>
    <t>CAM IP INTELBRAS</t>
  </si>
  <si>
    <t>GMR 02</t>
  </si>
  <si>
    <t>GMR 03</t>
  </si>
  <si>
    <t>COZINHA</t>
  </si>
  <si>
    <t>RESTAURANTE</t>
  </si>
  <si>
    <t>DESPENSA</t>
  </si>
  <si>
    <t>PRO 2010</t>
  </si>
  <si>
    <t>.0123</t>
  </si>
  <si>
    <t>RECEPCIONISTA (5S3FF82)</t>
  </si>
  <si>
    <t>CASA JONATAS</t>
  </si>
  <si>
    <t>EMPREGADA</t>
  </si>
  <si>
    <t>leidian0</t>
  </si>
  <si>
    <t>leidian1</t>
  </si>
  <si>
    <t>leidian3</t>
  </si>
  <si>
    <t>leidian4</t>
  </si>
  <si>
    <t>VM</t>
  </si>
  <si>
    <t>leidian2</t>
  </si>
  <si>
    <t>leidian5</t>
  </si>
  <si>
    <t>Ok</t>
  </si>
  <si>
    <t>DESKTOP-LQ5FPBP</t>
  </si>
  <si>
    <t>REUNIÃO</t>
  </si>
  <si>
    <t>TREINAMENTO</t>
  </si>
  <si>
    <t>ANILIA</t>
  </si>
  <si>
    <t>rodrigo@engelumen.com.br</t>
  </si>
  <si>
    <t>GALPÃO - ENGELUMEN</t>
  </si>
  <si>
    <t>renan@engelumen.com.br | supervisor@engelumen.com.br | almoxarifado@engelumen.com.br</t>
  </si>
  <si>
    <t>3500-3692</t>
  </si>
  <si>
    <t>96935-4477</t>
  </si>
  <si>
    <t>AnyDesk</t>
  </si>
  <si>
    <t>Rodrigo</t>
  </si>
  <si>
    <t>SEM PATR</t>
  </si>
  <si>
    <t>BRCSHB0FG8</t>
  </si>
  <si>
    <t>P1102W</t>
  </si>
  <si>
    <t>N LIGA</t>
  </si>
  <si>
    <t>julio</t>
  </si>
  <si>
    <t>C6-01</t>
  </si>
  <si>
    <t>C6-02</t>
  </si>
  <si>
    <t>C6-03</t>
  </si>
  <si>
    <t>C6-04</t>
  </si>
  <si>
    <t>C6-05</t>
  </si>
  <si>
    <t>C6-06</t>
  </si>
  <si>
    <t>C6-07</t>
  </si>
  <si>
    <t>C6-08</t>
  </si>
  <si>
    <t>C6-09</t>
  </si>
  <si>
    <t>C6-10</t>
  </si>
  <si>
    <t>C6-11</t>
  </si>
  <si>
    <t>C6-12</t>
  </si>
  <si>
    <t>C6-13</t>
  </si>
  <si>
    <t>C6-14</t>
  </si>
  <si>
    <t>C6-15</t>
  </si>
  <si>
    <t>C6-16</t>
  </si>
  <si>
    <t>C6-17</t>
  </si>
  <si>
    <t>C6-18</t>
  </si>
  <si>
    <t>C6-19</t>
  </si>
  <si>
    <t>C6-20</t>
  </si>
  <si>
    <t>C6-21</t>
  </si>
  <si>
    <t>C6-22</t>
  </si>
  <si>
    <t>C6-23</t>
  </si>
  <si>
    <t>C6-24</t>
  </si>
  <si>
    <t>C6-25</t>
  </si>
  <si>
    <t>C6-26</t>
  </si>
  <si>
    <t>C6-27</t>
  </si>
  <si>
    <t>C6-28</t>
  </si>
  <si>
    <t>C6-29</t>
  </si>
  <si>
    <t>C6-30</t>
  </si>
  <si>
    <t>C6-31</t>
  </si>
  <si>
    <t>C6-32</t>
  </si>
  <si>
    <t>C6-33</t>
  </si>
  <si>
    <t>C6-34</t>
  </si>
  <si>
    <t>C6-35</t>
  </si>
  <si>
    <t>C6-36</t>
  </si>
  <si>
    <t>C6-37</t>
  </si>
  <si>
    <t>C6-38</t>
  </si>
  <si>
    <t>C6-39</t>
  </si>
  <si>
    <t>C6-40</t>
  </si>
  <si>
    <t>C6-41</t>
  </si>
  <si>
    <t>C6-42</t>
  </si>
  <si>
    <t>C6-43</t>
  </si>
  <si>
    <t>C6-44</t>
  </si>
  <si>
    <t>C6-45</t>
  </si>
  <si>
    <t>C6-46</t>
  </si>
  <si>
    <t>C6-47</t>
  </si>
  <si>
    <t>C6-48</t>
  </si>
  <si>
    <t>RECEPCIONISTA</t>
  </si>
  <si>
    <t>JOÃO</t>
  </si>
  <si>
    <t>MAGNO</t>
  </si>
  <si>
    <t>C5-01</t>
  </si>
  <si>
    <t>C5-02</t>
  </si>
  <si>
    <t>C5-03</t>
  </si>
  <si>
    <t>C5-04</t>
  </si>
  <si>
    <t>C5-05</t>
  </si>
  <si>
    <t>C5-06</t>
  </si>
  <si>
    <t>C5-07</t>
  </si>
  <si>
    <t>C5-08</t>
  </si>
  <si>
    <t>C5-09</t>
  </si>
  <si>
    <t>C5-10</t>
  </si>
  <si>
    <t>C5-11</t>
  </si>
  <si>
    <t>C5-12</t>
  </si>
  <si>
    <t>C5-13</t>
  </si>
  <si>
    <t>C5-14</t>
  </si>
  <si>
    <t>C5-15</t>
  </si>
  <si>
    <t>C5-16</t>
  </si>
  <si>
    <t>C5-17</t>
  </si>
  <si>
    <t>C5-18</t>
  </si>
  <si>
    <t>C5-19</t>
  </si>
  <si>
    <t>C5-20</t>
  </si>
  <si>
    <t>C5-21</t>
  </si>
  <si>
    <t>C5-22</t>
  </si>
  <si>
    <t>C5-23</t>
  </si>
  <si>
    <t>C5-24</t>
  </si>
  <si>
    <t>C5-25</t>
  </si>
  <si>
    <t>C5-26</t>
  </si>
  <si>
    <t>C5-27</t>
  </si>
  <si>
    <t>C5-28</t>
  </si>
  <si>
    <t>C5-29</t>
  </si>
  <si>
    <t>C5-30</t>
  </si>
  <si>
    <t>C5-31</t>
  </si>
  <si>
    <t>C5-32</t>
  </si>
  <si>
    <t>C5-33</t>
  </si>
  <si>
    <t>C5-34</t>
  </si>
  <si>
    <t>C5-35</t>
  </si>
  <si>
    <t>C5-36</t>
  </si>
  <si>
    <t>C5-37</t>
  </si>
  <si>
    <t>C5-38</t>
  </si>
  <si>
    <t>C5-39</t>
  </si>
  <si>
    <t>C5-40</t>
  </si>
  <si>
    <t>C5-41</t>
  </si>
  <si>
    <t>C5-42</t>
  </si>
  <si>
    <t>C5-43</t>
  </si>
  <si>
    <t>C5-44</t>
  </si>
  <si>
    <t>C5-45</t>
  </si>
  <si>
    <t>C5-46</t>
  </si>
  <si>
    <t>C5-47</t>
  </si>
  <si>
    <t>C5-48</t>
  </si>
  <si>
    <t>C5-49</t>
  </si>
  <si>
    <t>C5-50</t>
  </si>
  <si>
    <t>C5-51</t>
  </si>
  <si>
    <t>C5-52</t>
  </si>
  <si>
    <t>C5-53</t>
  </si>
  <si>
    <t>C5-54</t>
  </si>
  <si>
    <t>C5-55</t>
  </si>
  <si>
    <t>C5-56</t>
  </si>
  <si>
    <t>C5-57</t>
  </si>
  <si>
    <t>PP CENTRAL</t>
  </si>
  <si>
    <t>IMPRESSORA01</t>
  </si>
  <si>
    <t>IMPRESSORA02</t>
  </si>
  <si>
    <t>ETIQUETA</t>
  </si>
  <si>
    <t>C5-58</t>
  </si>
  <si>
    <t>C5-59</t>
  </si>
  <si>
    <t>C5-60</t>
  </si>
  <si>
    <t>C5-61</t>
  </si>
  <si>
    <t>C5-62</t>
  </si>
  <si>
    <t>C5-63</t>
  </si>
  <si>
    <t>C5-64</t>
  </si>
  <si>
    <t>C5-65</t>
  </si>
  <si>
    <t>C5-66</t>
  </si>
  <si>
    <t>C5-67</t>
  </si>
  <si>
    <t>C5-68</t>
  </si>
  <si>
    <t>C5-69</t>
  </si>
  <si>
    <t>C5-70</t>
  </si>
  <si>
    <t>C5-71</t>
  </si>
  <si>
    <t>C5-72</t>
  </si>
  <si>
    <t>UNIFI DIRETORIA</t>
  </si>
  <si>
    <t>LIVRE</t>
  </si>
  <si>
    <t>Analógico</t>
  </si>
  <si>
    <t>Digital</t>
  </si>
  <si>
    <t>OPTIPLEX 5000</t>
  </si>
  <si>
    <t>Intel Core i7-12700 (12 Cores/25MB/20T/2.1GHz to 4.9GHz/65W)</t>
  </si>
  <si>
    <t>1MNBVQ3</t>
  </si>
  <si>
    <t>BROTHER L5652</t>
  </si>
  <si>
    <t>COMERCIAL</t>
  </si>
  <si>
    <t>PRINT-02</t>
  </si>
  <si>
    <t>PRINT-03</t>
  </si>
  <si>
    <t>ADMINISTRATIVO</t>
  </si>
  <si>
    <t>192.168.254.12</t>
  </si>
  <si>
    <t>192.168.254.13</t>
  </si>
  <si>
    <t>192.168.254.14</t>
  </si>
  <si>
    <t>192.168.254.16</t>
  </si>
  <si>
    <t>192.168.254.17</t>
  </si>
  <si>
    <t>192.168.254.18</t>
  </si>
  <si>
    <t>192.168.254.19</t>
  </si>
  <si>
    <t>192.168.254.20</t>
  </si>
  <si>
    <t>192.168.254.21</t>
  </si>
  <si>
    <t>Rua Frei Jaboatão, 120 Bonsucesso - Rio de Janeiro-RJ</t>
  </si>
  <si>
    <t>https://gmr.com.br</t>
  </si>
  <si>
    <t>NEGÓCIO</t>
  </si>
  <si>
    <t>Descrição</t>
  </si>
  <si>
    <t>Endereço</t>
  </si>
  <si>
    <t>Site</t>
  </si>
  <si>
    <t>Mensagem de Boas Vindas</t>
  </si>
  <si>
    <t>GMR Equipamentos Elétricos</t>
  </si>
  <si>
    <r>
      <rPr>
        <b/>
        <sz val="11"/>
        <color theme="1"/>
        <rFont val="Calibri"/>
        <family val="2"/>
        <scheme val="minor"/>
      </rPr>
      <t>Caminho menu inicializar (Windows 7)</t>
    </r>
    <r>
      <rPr>
        <sz val="11"/>
        <color theme="1"/>
        <rFont val="Calibri"/>
        <family val="2"/>
        <scheme val="minor"/>
      </rPr>
      <t xml:space="preserve"> C:\Users\flora\AppData\Roaming\Microsoft\Windows\Start Menu\Programs\Startup</t>
    </r>
  </si>
  <si>
    <r>
      <rPr>
        <b/>
        <sz val="11"/>
        <color theme="1"/>
        <rFont val="Calibri"/>
        <family val="2"/>
        <scheme val="minor"/>
      </rPr>
      <t>Caminho menu inicializar (Windows 10)</t>
    </r>
    <r>
      <rPr>
        <sz val="11"/>
        <color theme="1"/>
        <rFont val="Calibri"/>
        <family val="2"/>
        <scheme val="minor"/>
      </rPr>
      <t xml:space="preserve"> C:\Users\valerio.alves\AppData\Roaming\Microsoft\Windows\Start Menu\Programs\Startup</t>
    </r>
  </si>
  <si>
    <t>Recado</t>
  </si>
  <si>
    <t>Olá! Sou "NOME" vendedor da GMR, Agradeço desde já o seu contato! Como podemos ajudar?
Como podemos ajudar?</t>
  </si>
  <si>
    <t>AUSÊNCIA</t>
  </si>
  <si>
    <t>Agradecemos sua mensagem. Não estamos disponíveis no momento, mas responderemos assim que possível.</t>
  </si>
  <si>
    <t>SHEILA MAIO (DDM44W2)</t>
  </si>
  <si>
    <t>SSD 480 CRU</t>
  </si>
  <si>
    <t>leidian6</t>
  </si>
  <si>
    <t>leidian7</t>
  </si>
  <si>
    <t>leidian8</t>
  </si>
  <si>
    <t>leidian9</t>
  </si>
  <si>
    <t>leidian10</t>
  </si>
  <si>
    <t>leidian11</t>
  </si>
  <si>
    <t>leidian12</t>
  </si>
  <si>
    <t>W6KYR-4NXCD-MY63Q-H63K4-FC32T</t>
  </si>
  <si>
    <t>8VDN4-JPJQ6-CQGYB-C8GBK-DYKGG</t>
  </si>
  <si>
    <t>WTNQR-V9VFQ-3CRB3-H64TF-YTFW6</t>
  </si>
  <si>
    <t>ND2WC-KDPRG-D3FWC-2RPP8-HMKGG</t>
  </si>
  <si>
    <t>P9JQB-NGY9P-QM7G3-M37YM-B4JJ6</t>
  </si>
  <si>
    <t>3JF76-XNT6F-B44CG-KRYWG-8T26G</t>
  </si>
  <si>
    <t>VCNP6-V2YPP-VJJTW-M3WRJ-W46TG</t>
  </si>
  <si>
    <t>9N89C-W43RB-BMBCC-PBGWP-8XD2T</t>
  </si>
  <si>
    <t>K3NGJ-QP9BV-H82B7-7KP4R-3DC6G</t>
  </si>
  <si>
    <t>DTGCN-F8DJ9-KQH6H-HWGMF-VMKGG</t>
  </si>
  <si>
    <t>A GMR possui mais de 49 anos de experiência e tradição em materiais elétricos</t>
  </si>
  <si>
    <t>OUTRAS EMPRESAS</t>
  </si>
  <si>
    <t>CARLOS SÁ</t>
  </si>
  <si>
    <t>gmrsuporte@gmail.com</t>
  </si>
  <si>
    <t>vendasgmr14@gmail.com</t>
  </si>
  <si>
    <t>vendasgmr15@gmail.com</t>
  </si>
  <si>
    <t>vendasgmr16@gmail.com</t>
  </si>
  <si>
    <t>leidian13</t>
  </si>
  <si>
    <t>leidian14</t>
  </si>
  <si>
    <t>leidian15</t>
  </si>
  <si>
    <t>leidian16</t>
  </si>
  <si>
    <t>leidian17</t>
  </si>
  <si>
    <t>leidian18</t>
  </si>
  <si>
    <t>leidian19</t>
  </si>
  <si>
    <t>apagargmr1@gmail.com</t>
  </si>
  <si>
    <t>apagargmr2@gmail.com</t>
  </si>
  <si>
    <t>2MNBVQ3</t>
  </si>
  <si>
    <t>3MNBVQ3</t>
  </si>
  <si>
    <t>4MNBVQ3</t>
  </si>
  <si>
    <t>5MNBVQ3</t>
  </si>
  <si>
    <t>6MNBVQ3</t>
  </si>
  <si>
    <t>7MNBVQ3</t>
  </si>
  <si>
    <t>8MNBVQ3</t>
  </si>
  <si>
    <t>9MNBVQ3</t>
  </si>
  <si>
    <t>BMNBVQ3</t>
  </si>
  <si>
    <t>adantasranch@gmail.com</t>
  </si>
  <si>
    <t>Rodovia Castelo Branco, Km 111 - Boituva SP</t>
  </si>
  <si>
    <t>.00267</t>
  </si>
  <si>
    <t>DIRETORIA-10</t>
  </si>
  <si>
    <t>diretorgmr@gmail.com</t>
  </si>
  <si>
    <t>leidian20</t>
  </si>
  <si>
    <t>IMAGEM PERFIL</t>
  </si>
  <si>
    <t>OK</t>
  </si>
  <si>
    <t>ok</t>
  </si>
  <si>
    <t>PQNVG-C27PG-VTH72-WQJK9-C7KCT</t>
  </si>
  <si>
    <t>5820/5816</t>
  </si>
  <si>
    <t>VENDAS-18</t>
  </si>
  <si>
    <t>VENDAS-19</t>
  </si>
  <si>
    <t>N9J7X-PG27G-KCPH2-DW6BK-M99CT</t>
  </si>
  <si>
    <t>.00269</t>
  </si>
  <si>
    <t>.00272</t>
  </si>
  <si>
    <t>VENDAS-21</t>
  </si>
  <si>
    <t>VENDAS-22</t>
  </si>
  <si>
    <t>VENDAS-23</t>
  </si>
  <si>
    <t>VENDAS-24</t>
  </si>
  <si>
    <t>VENDAS-25</t>
  </si>
  <si>
    <t>USB/WIFI</t>
  </si>
  <si>
    <t>G4110</t>
  </si>
  <si>
    <t>GMR00257</t>
  </si>
  <si>
    <t>KLPF35012</t>
  </si>
  <si>
    <t>GMR00259</t>
  </si>
  <si>
    <t>BRBFC7C087</t>
  </si>
  <si>
    <t>ESTOQUE</t>
  </si>
  <si>
    <t>ESTOQUE/PALETE</t>
  </si>
  <si>
    <t>YCNGT-P9C3R-9K6VG-XXGRJ-7FTPT</t>
  </si>
  <si>
    <t>.00273</t>
  </si>
  <si>
    <t>.00275</t>
  </si>
  <si>
    <t>2CB7C-TN937-GJCRG-94PTR-2KC2T</t>
  </si>
  <si>
    <t>R8T8J-4NY7C-WK6GJ-TQ4CV-BDXCT</t>
  </si>
  <si>
    <t>.00277</t>
  </si>
  <si>
    <t>.00280</t>
  </si>
  <si>
    <t>B6JFP-NGBQJ-RRGBH-JBCM4-W8GPT</t>
  </si>
  <si>
    <t>CNDH8-2W9VP-C39Q4-JF9RT-J2QW6</t>
  </si>
  <si>
    <t>.00281</t>
  </si>
  <si>
    <t>.00283</t>
  </si>
  <si>
    <t>KJJWN-89C6G-8HPXT-M3F8Q-977J6</t>
  </si>
  <si>
    <t>33PB8-CCNFM-QH2GQ-9C32H-HXM6G</t>
  </si>
  <si>
    <t>.00285</t>
  </si>
  <si>
    <t>DQKNC-BRTD9-DRC62-R433Q-977J6</t>
  </si>
  <si>
    <t>COMPRAS-07</t>
  </si>
  <si>
    <t>INFORMATIVO-TI</t>
  </si>
  <si>
    <t>VK7JG-NPHTM-C97JM-9MPGT-3V66T</t>
  </si>
  <si>
    <t>BRBHB9V904</t>
  </si>
  <si>
    <t>.0578</t>
  </si>
  <si>
    <t>acacia.rocha@gmr.com.br | financeiro@anadantasranch.com.br</t>
  </si>
  <si>
    <t>LUANA (DM1CLZ1)</t>
  </si>
  <si>
    <t>COMPRAS-08</t>
  </si>
  <si>
    <t>entre mila e lucas</t>
  </si>
  <si>
    <t>TV DIRETORIA</t>
  </si>
  <si>
    <t>.0261</t>
  </si>
  <si>
    <t>PEDRO</t>
  </si>
  <si>
    <t>pedro.silva</t>
  </si>
  <si>
    <t>EMBALAGEM-02</t>
  </si>
  <si>
    <t>RECEBIMENTO-03</t>
  </si>
  <si>
    <t>RECEBIMENTO-04</t>
  </si>
  <si>
    <t>HÉLIO/MAGNO</t>
  </si>
  <si>
    <t>3500-3693</t>
  </si>
  <si>
    <t>.0734</t>
  </si>
  <si>
    <t>GFNDR-KGDWM-KCQFT-3QR82-KW3GP</t>
  </si>
  <si>
    <t>Paulo | Carlos</t>
  </si>
  <si>
    <t>PAULO | CARLOS</t>
  </si>
  <si>
    <t>paulo@engelumen.com.br | carlos@engelumen.com.br</t>
  </si>
  <si>
    <t>EXPEDICAO-01</t>
  </si>
  <si>
    <t>EXPEDICAO-02</t>
  </si>
  <si>
    <t>WANDRÉ (8MMG6W1)</t>
  </si>
  <si>
    <t>LEIKSON (27261Y1)</t>
  </si>
  <si>
    <t>PEDRO PAULO (7DWQ5P1)</t>
  </si>
  <si>
    <t>CARLOS RENE (9DWQ5P1)</t>
  </si>
  <si>
    <t>HELIO/CHEFÃO (GDWQ5P1)</t>
  </si>
  <si>
    <t>JANSEN (1MNBVQ3)</t>
  </si>
  <si>
    <t>FLORA (2MNBVQ3)</t>
  </si>
  <si>
    <t>MARCELO (3MNBVQ3)</t>
  </si>
  <si>
    <t>LUCAS LEAL (4MNBVQ3)</t>
  </si>
  <si>
    <t>JÚLIO (5MNBVQ3)</t>
  </si>
  <si>
    <t>TIAGO (6MNBVQ3)</t>
  </si>
  <si>
    <t>WABNER (7MNBVQ3)</t>
  </si>
  <si>
    <t>JOÃO VICTOR (8MNBVQ3)</t>
  </si>
  <si>
    <t>JANAINA (9MNBVQ3)</t>
  </si>
  <si>
    <t>LUCIANA (BMNBVQ3)</t>
  </si>
  <si>
    <t>OFFICE PROFESSIONAL PLUS 2019</t>
  </si>
  <si>
    <t>INFORMATIVO-TI (25533V1)</t>
  </si>
  <si>
    <t>RODRIGO (BRG125FKGR)</t>
  </si>
  <si>
    <t>ACÁCIA (25M23V1)</t>
  </si>
  <si>
    <t>PAULO|CARLOS (BQRQ5P1)</t>
  </si>
  <si>
    <t>(25503V1)</t>
  </si>
  <si>
    <t>(3R161Y1)</t>
  </si>
  <si>
    <t>(8M1JKH1)</t>
  </si>
  <si>
    <t>BALCÃO (F4BV6S1)</t>
  </si>
  <si>
    <t>(79Z6P91)</t>
  </si>
  <si>
    <t>(CDWQ5P1)</t>
  </si>
  <si>
    <t>FELIPE (6DWQ5P1)</t>
  </si>
  <si>
    <t>MAGNO REIS (3C39LZ1)</t>
  </si>
  <si>
    <t>(7Q161Y1)</t>
  </si>
  <si>
    <t>LICENÇA 1</t>
  </si>
  <si>
    <t>LICENÇA 2</t>
  </si>
  <si>
    <t>LICENÇA 3</t>
  </si>
  <si>
    <t>SHEILA GARRIDO (4C5LD33)</t>
  </si>
  <si>
    <t>TIAGO (25VL2V1)</t>
  </si>
  <si>
    <t>LACIELE (5YTH6W1)</t>
  </si>
  <si>
    <t>SEPARACAO-04</t>
  </si>
  <si>
    <t>DISPONÍVEL</t>
  </si>
  <si>
    <t>UNIFI VENDAS</t>
  </si>
  <si>
    <t>2POE</t>
  </si>
  <si>
    <t>MAC</t>
  </si>
  <si>
    <t>PATR</t>
  </si>
  <si>
    <t>C8:1F:EA:BB:68:EE</t>
  </si>
  <si>
    <t>.00401</t>
  </si>
  <si>
    <t>C8:1F:EA:BB:69:1D</t>
  </si>
  <si>
    <t>.00402</t>
  </si>
  <si>
    <t>C8:1F:EA:B9:FA:E9</t>
  </si>
  <si>
    <t>.00403</t>
  </si>
  <si>
    <t>C8:1F:EA:BB:68:EC</t>
  </si>
  <si>
    <t>.00404</t>
  </si>
  <si>
    <t>.00405</t>
  </si>
  <si>
    <t>C8:1F:EA:BB:69:84</t>
  </si>
  <si>
    <t>.00407</t>
  </si>
  <si>
    <t>.00406</t>
  </si>
  <si>
    <t>PP</t>
  </si>
  <si>
    <t>C8:1F:EA:BB:70:AD</t>
  </si>
  <si>
    <t>C8:1F:EA:BB:6A:F7</t>
  </si>
  <si>
    <t>C8:1F:EA:BB:69:E8</t>
  </si>
  <si>
    <t>.00408</t>
  </si>
  <si>
    <t>.00409</t>
  </si>
  <si>
    <t>C8:1F:EA:BB:68:BD</t>
  </si>
  <si>
    <t>.00410</t>
  </si>
  <si>
    <t>C8:1F:EA:BB:69:53</t>
  </si>
  <si>
    <t>C8-1F-EA-BB-69-5B</t>
  </si>
  <si>
    <t>.00430</t>
  </si>
  <si>
    <t>C8:1F:EA:BC:07:A4</t>
  </si>
  <si>
    <t>1ª</t>
  </si>
  <si>
    <t>2ª</t>
  </si>
  <si>
    <t>C8:1F:EA:BB:69:5B</t>
  </si>
  <si>
    <t>3ª</t>
  </si>
  <si>
    <t>AVAYA</t>
  </si>
  <si>
    <t>S-P</t>
  </si>
  <si>
    <t>C8:1F:EA:C0:4E:64</t>
  </si>
  <si>
    <t>.00431</t>
  </si>
  <si>
    <t>.00429</t>
  </si>
  <si>
    <t>C8:1F:EA:BB:69:6F</t>
  </si>
  <si>
    <t>.00428</t>
  </si>
  <si>
    <t>AO LADO JÚLIO</t>
  </si>
  <si>
    <t>AO LADO JANSEN</t>
  </si>
  <si>
    <t>C8:1F:EA:BB:68:BF</t>
  </si>
  <si>
    <t>.00412</t>
  </si>
  <si>
    <t>P-GW</t>
  </si>
  <si>
    <t>.00417</t>
  </si>
  <si>
    <t>C8:1F:EA:BB:69:65</t>
  </si>
  <si>
    <t>.00413</t>
  </si>
  <si>
    <t>C8:1F:EA:BB:68:D2</t>
  </si>
  <si>
    <t>.00418</t>
  </si>
  <si>
    <t>C8:1F:EA:BB:69:A8</t>
  </si>
  <si>
    <t>.00419</t>
  </si>
  <si>
    <t>C8:1F:EA:BB:68:D7</t>
  </si>
  <si>
    <t>.00414</t>
  </si>
  <si>
    <t>C8:1F:EA:BB:70:0B</t>
  </si>
  <si>
    <t>.00415</t>
  </si>
  <si>
    <t>C8:1F:EA:BB:69:0E</t>
  </si>
  <si>
    <t>.00423</t>
  </si>
  <si>
    <t>C8:1F:EA:BB:69:82</t>
  </si>
  <si>
    <t>.00424</t>
  </si>
  <si>
    <t>C8:1F:EA:BB:68:C6</t>
  </si>
  <si>
    <t>.00425</t>
  </si>
  <si>
    <t>C8:1F:EA:BB:6A:0A</t>
  </si>
  <si>
    <t>.00426</t>
  </si>
  <si>
    <t>C8:1F:EA:BB:69:5D</t>
  </si>
  <si>
    <t>.00427</t>
  </si>
  <si>
    <t>C8:1F:EA:BB:66:4A</t>
  </si>
  <si>
    <t>.00421</t>
  </si>
  <si>
    <t>C8:1F:EA:BB:71:97</t>
  </si>
  <si>
    <t>.00422</t>
  </si>
  <si>
    <t>C8:1F:EA:BB:69:61</t>
  </si>
  <si>
    <t>.00416</t>
  </si>
  <si>
    <t>C8:1F:EA:BB:6F:E2</t>
  </si>
  <si>
    <t>.00420</t>
  </si>
  <si>
    <t>C8:1F:EA:BB:68:CF</t>
  </si>
  <si>
    <t>.00411</t>
  </si>
  <si>
    <t>C8:1F:EA:BB:63:AD</t>
  </si>
  <si>
    <t>THELL/SIENIO</t>
  </si>
  <si>
    <t>GFKMQ-HNTWK-HF49C-XK8GC-9QBP2</t>
  </si>
  <si>
    <t>.00173</t>
  </si>
  <si>
    <t>ADMINISTRAÇÃO</t>
  </si>
  <si>
    <t>U64198D2N857254</t>
  </si>
  <si>
    <t>GMR00434</t>
  </si>
  <si>
    <t>GMR00433</t>
  </si>
  <si>
    <t>U64198D2N857259</t>
  </si>
  <si>
    <t>WIN11</t>
  </si>
  <si>
    <t>comercial.es@gmr.com.br</t>
  </si>
  <si>
    <t>financeiro.es@gmr.com.br</t>
  </si>
  <si>
    <t>fiscal.es@gmr.com.br</t>
  </si>
  <si>
    <t>BALCAO07</t>
  </si>
  <si>
    <t>VENDAS-27</t>
  </si>
  <si>
    <t>192.168.254.22</t>
  </si>
  <si>
    <t>192.168.254.23</t>
  </si>
  <si>
    <t>192.168.254.24</t>
  </si>
  <si>
    <t>CMST1S3</t>
  </si>
  <si>
    <t>.00437</t>
  </si>
  <si>
    <t>BMST1S3</t>
  </si>
  <si>
    <t>9MST1S3</t>
  </si>
  <si>
    <t>.00438</t>
  </si>
  <si>
    <t>.00439</t>
  </si>
  <si>
    <t>28JNK-JP2TR-43TVX-8CHKR-3DB6G</t>
  </si>
  <si>
    <t>QDBTC-ND9XK-YHQ7F-4TRJR-8B6PT</t>
  </si>
  <si>
    <t>8VR7K-NRCGT-P432V-3VQKH-QPFTG</t>
  </si>
  <si>
    <t>C8:1F:EA:C0:44:BE</t>
  </si>
  <si>
    <t>BNQCF-FBXB2-G7RYX-V48FF-K4VMV</t>
  </si>
  <si>
    <t>GBYHH-T8NC6-J98CC-WQJVM-PR6TG</t>
  </si>
  <si>
    <t>HXDNQ-CBB3R-3H98D-F76XK-YDYBV</t>
  </si>
  <si>
    <t>C6-51</t>
  </si>
  <si>
    <t>C6-50</t>
  </si>
  <si>
    <t>C8:1F:EA:C0:4C:BD</t>
  </si>
  <si>
    <t>C8:1F:EA:BB:74:03</t>
  </si>
  <si>
    <t>C8:1F:EA:BB:73:85</t>
  </si>
  <si>
    <t>C8:1F:EA:C0:4D:68</t>
  </si>
  <si>
    <t>C8:1F:EA:C0:4E:9C</t>
  </si>
  <si>
    <t>C8:1F:EA:BB:73:8B</t>
  </si>
  <si>
    <t>C8:1F:EA:BB:73:CD</t>
  </si>
  <si>
    <t>C8:1F:EA:BB:73:9B</t>
  </si>
  <si>
    <t>VOSTRO 330</t>
  </si>
  <si>
    <t>.00288</t>
  </si>
  <si>
    <t>44C95P1</t>
  </si>
  <si>
    <t>VOSTRO 330 - ALL IN ONE</t>
  </si>
  <si>
    <t>Intel Core i3-380M Dual Core C PU (2.53GHz, 3M Cache)</t>
  </si>
  <si>
    <t>192.168.254.81</t>
  </si>
  <si>
    <t>.00292</t>
  </si>
  <si>
    <t>C8:1F:EA:88:73:49</t>
  </si>
  <si>
    <t>C6-53</t>
  </si>
  <si>
    <t>C6-54</t>
  </si>
  <si>
    <t>C6-55</t>
  </si>
  <si>
    <t>OFFICE PROFESSIONAL 2019</t>
  </si>
  <si>
    <t>JONATAS (9MST1S3)</t>
  </si>
  <si>
    <t>(CMST1S3)</t>
  </si>
  <si>
    <t>PRO 2019</t>
  </si>
  <si>
    <t>JONATAS (44C95P1)</t>
  </si>
  <si>
    <t>DIRETORIA-00</t>
  </si>
  <si>
    <t>leidian21</t>
  </si>
  <si>
    <t>rhgmr1@gmail.com</t>
  </si>
  <si>
    <t>ESTOQUE/PALET</t>
  </si>
  <si>
    <t xml:space="preserve"> ENCONTRA-SE NO ESTOQUE PALET</t>
  </si>
  <si>
    <t>ENCONTRA-SE NO EQUINOVIDA</t>
  </si>
  <si>
    <t>.00184</t>
  </si>
  <si>
    <t>CQ432-NYB4M-2W2GD-FMQHQ-7T9TP</t>
  </si>
  <si>
    <t>ANILIUCHE (DDM04W2)</t>
  </si>
  <si>
    <t>RETIRADO</t>
  </si>
  <si>
    <t>DJBKPQ1</t>
  </si>
  <si>
    <t>.00291</t>
  </si>
  <si>
    <t>ANALOGICO</t>
  </si>
  <si>
    <t>MAC/GATEWAY</t>
  </si>
  <si>
    <t>P10</t>
  </si>
  <si>
    <t>P18</t>
  </si>
  <si>
    <t>P2</t>
  </si>
  <si>
    <t>P0</t>
  </si>
  <si>
    <t>REFEITÓRIO</t>
  </si>
  <si>
    <t>ANDERSON/ANDREA</t>
  </si>
  <si>
    <t>NAIDYLENE</t>
  </si>
  <si>
    <t>P9</t>
  </si>
  <si>
    <t>P12</t>
  </si>
  <si>
    <t>P13</t>
  </si>
  <si>
    <t>P14</t>
  </si>
  <si>
    <t>P15</t>
  </si>
  <si>
    <t>P16</t>
  </si>
  <si>
    <t>P17</t>
  </si>
  <si>
    <t>P19</t>
  </si>
  <si>
    <t>P20</t>
  </si>
  <si>
    <t>.00287</t>
  </si>
  <si>
    <t>BLOQUEADO/ROUBADO - 20/10/2022</t>
  </si>
  <si>
    <t>NAIDY</t>
  </si>
  <si>
    <t>HARAS10</t>
  </si>
  <si>
    <t>THEL</t>
  </si>
  <si>
    <t>CANON G6010</t>
  </si>
  <si>
    <t>CANON-G6010</t>
  </si>
  <si>
    <t>G6010</t>
  </si>
  <si>
    <t>GMR00450</t>
  </si>
  <si>
    <t>KMFL31002</t>
  </si>
  <si>
    <t>LASERJET PRETA</t>
  </si>
  <si>
    <t>LASERJET BRANCA</t>
  </si>
  <si>
    <t>FALTANDO INFO</t>
  </si>
  <si>
    <t>DESLIGADO</t>
  </si>
  <si>
    <t>CARLOS RENNE</t>
  </si>
  <si>
    <t>KAREM</t>
  </si>
  <si>
    <t>MILA PIRES</t>
  </si>
  <si>
    <t>ÚLTIMO BACKUP</t>
  </si>
  <si>
    <t>Conta Active Direct (DC01)</t>
  </si>
  <si>
    <t>Criar E-mail Locaweb - 10GB</t>
  </si>
  <si>
    <t>Adicionar ao grupo: grupo@...</t>
  </si>
  <si>
    <t>Configurar Outlook (manter cópia 90 dias)</t>
  </si>
  <si>
    <t>Criar Perfil DEAK</t>
  </si>
  <si>
    <t>Verificar Acessos com o Coordenador</t>
  </si>
  <si>
    <t>\\DC01\FERRAMENTAS\HOST</t>
  </si>
  <si>
    <t>Alterar Host (C:/windows/drive/host)</t>
  </si>
  <si>
    <t>Avast / Office (Businness - Word, Excel e Outlook)</t>
  </si>
  <si>
    <t>Painel de Controle/Ferramentas administrativa(windows) / Fonte de Dados ODBC 32bits / {'novo cadastro', 'sa', '', 'deak'}</t>
  </si>
  <si>
    <t>ODBC 32bits (Executar Relatorios)</t>
  </si>
  <si>
    <t>\\SERVIDOR01\Deak\Instalador_Vs02.00</t>
  </si>
  <si>
    <t>Instalação Deak - 1</t>
  </si>
  <si>
    <t>\\SERVIDOR01\Deak\Instalador_Vs02.00\XP</t>
  </si>
  <si>
    <t>Instalação Deak - 1.1 (Registro) - banco.reg</t>
  </si>
  <si>
    <t xml:space="preserve">Instalação Deak - 1.2 </t>
  </si>
  <si>
    <t>Instalação Deak Instalação</t>
  </si>
  <si>
    <t>\\SERVIDOR01\Deak\SisMenu.exe</t>
  </si>
  <si>
    <t>Criar Atalho Desktop</t>
  </si>
  <si>
    <t>\\SERVIDOR01\Deak\Instalador_Vs02.00\INSTALADOR\setup.exe</t>
  </si>
  <si>
    <t>\\SERVIDOR01\Deak\Instalador_Vs02.00\Registra_Ocx.bat</t>
  </si>
  <si>
    <t>Instalação Deak - 1.3</t>
  </si>
  <si>
    <t>\\SERVIDOR01\Deak\Instalador_Vs02.00\Correção da fm20.dll (Combos do sistema)\frm20past.exe</t>
  </si>
  <si>
    <t>Instalação Deak - 1.4</t>
  </si>
  <si>
    <t>Instalação Deak - 1.5</t>
  </si>
  <si>
    <t>\\SERVIDOR01\Deak\Instalador_Vs02.00\AtualizaDeak.bat</t>
  </si>
  <si>
    <t>Realiza Bloqueio de Sites Específicos</t>
  </si>
  <si>
    <t>naidylene@gmr.com.br</t>
  </si>
  <si>
    <t>Naidylene</t>
  </si>
  <si>
    <t>C5-73</t>
  </si>
  <si>
    <t>.00295</t>
  </si>
  <si>
    <t>.00290</t>
  </si>
  <si>
    <t>.00298</t>
  </si>
  <si>
    <t>.00296</t>
  </si>
  <si>
    <t>.00294</t>
  </si>
  <si>
    <t>.00297</t>
  </si>
  <si>
    <t>.00289</t>
  </si>
  <si>
    <t>.00300</t>
  </si>
  <si>
    <t>.00181</t>
  </si>
  <si>
    <t>BACKUP PST</t>
  </si>
  <si>
    <t>TI / BACKUP</t>
  </si>
  <si>
    <t>*</t>
  </si>
  <si>
    <t>TODOS</t>
  </si>
  <si>
    <t>[TI / BACKUP]</t>
  </si>
  <si>
    <t>U64198F2N920880</t>
  </si>
  <si>
    <t>ATUALIZAÇÃO APP</t>
  </si>
  <si>
    <t>INATIVO</t>
  </si>
  <si>
    <t>mila</t>
  </si>
  <si>
    <t>mila.pires@gmr.com.br</t>
  </si>
  <si>
    <t>EZEQUIEL</t>
  </si>
  <si>
    <t>ezequiel.oliveira@gmr.com.br</t>
  </si>
  <si>
    <t>Monitoramento</t>
  </si>
  <si>
    <t>Particular</t>
  </si>
  <si>
    <t>Leandra Silva</t>
  </si>
  <si>
    <t>leandra.silva@gmr.com.br</t>
  </si>
  <si>
    <t>LIGADO</t>
  </si>
  <si>
    <t>TI-12</t>
  </si>
  <si>
    <t>Antigo júlio</t>
  </si>
  <si>
    <t>CONTASREC-002</t>
  </si>
  <si>
    <t>Transferido para CONTASREC-002</t>
  </si>
  <si>
    <t>FINANCEIRO</t>
  </si>
  <si>
    <t>LEANDRA</t>
  </si>
  <si>
    <t>leandra.silva</t>
  </si>
  <si>
    <t xml:space="preserve"> Porta Antiga S2-32</t>
  </si>
  <si>
    <t>LISTA DE IP´S</t>
  </si>
  <si>
    <t>Switch</t>
  </si>
  <si>
    <t>Porta</t>
  </si>
  <si>
    <t>IPFIM</t>
  </si>
  <si>
    <t>RESERVADO</t>
  </si>
  <si>
    <t>Aguardando Liberação (até 05/04/2023)</t>
  </si>
  <si>
    <t>Boleto</t>
  </si>
  <si>
    <t>boleto@gmr.com.br</t>
  </si>
  <si>
    <t>Sheila Maio Boleto</t>
  </si>
  <si>
    <t>sheila.maio.boleto@gmr.com.br</t>
  </si>
  <si>
    <t>Antonio Rogério Sobral de Souza</t>
  </si>
  <si>
    <t>representante.macae@gmr.com.br</t>
  </si>
  <si>
    <t>GAIOLA-001</t>
  </si>
  <si>
    <t>alterada em 03.05.23</t>
  </si>
  <si>
    <t>Criado para cadastrar na Petronect - Serra</t>
  </si>
  <si>
    <t>Sá</t>
  </si>
  <si>
    <t>luana.es@gmr.com.br</t>
  </si>
  <si>
    <t>magno.es@gmr.com.br</t>
  </si>
  <si>
    <t>julio.es@gmr.com.br</t>
  </si>
  <si>
    <t>as.es@gmr.com.br</t>
  </si>
  <si>
    <t>jansen.es@gmr.com.br</t>
  </si>
  <si>
    <t>Andrezza da Silva</t>
  </si>
  <si>
    <t>andrezza.silva@gmr.com.br</t>
  </si>
  <si>
    <t>Status</t>
  </si>
  <si>
    <t>Ativo</t>
  </si>
  <si>
    <t>Outros</t>
  </si>
  <si>
    <t>Inativo</t>
  </si>
  <si>
    <t>Nathalia Rodrigues</t>
  </si>
  <si>
    <t>nathalia.rodrigues@gmr.com.br</t>
  </si>
  <si>
    <t>MILA</t>
  </si>
  <si>
    <t>leidian22</t>
  </si>
  <si>
    <t>gmrfaturamento@gmail.com</t>
  </si>
  <si>
    <t>Fabiana Almeida</t>
  </si>
  <si>
    <t>fabiana.almeida@gmr.com.br</t>
  </si>
  <si>
    <t>FABIANA</t>
  </si>
  <si>
    <t>leidian23</t>
  </si>
  <si>
    <t>gmrorgaospublicos@gmail.com</t>
  </si>
  <si>
    <t>vagas@gmr.com.br</t>
  </si>
  <si>
    <t>Vagas GMR</t>
  </si>
  <si>
    <t>SWITCH IP</t>
  </si>
  <si>
    <t>192.168.254.3</t>
  </si>
  <si>
    <t>DATA DE AQUISIÇÃO</t>
  </si>
  <si>
    <t>FABIANE (HARAS - BOITUVA)</t>
  </si>
  <si>
    <t>RAFAEL (velho)</t>
  </si>
  <si>
    <t>PATRÍCIA (DDL64W2) - HD1TB</t>
  </si>
  <si>
    <t>PATRÍCIA (DDL64W2) - SSD480GB</t>
  </si>
  <si>
    <t>resgatada por rodrigo...inacio@hotmail.com</t>
  </si>
  <si>
    <t>Alessandra Silva</t>
  </si>
  <si>
    <t>alessandra.silva@gmr.com.br</t>
  </si>
  <si>
    <t>isabela.rezende</t>
  </si>
  <si>
    <t>alessandra.silva</t>
  </si>
  <si>
    <t>ISABELA</t>
  </si>
  <si>
    <t>ALESSANDRA</t>
  </si>
  <si>
    <t>isabela.rezende@gmr.com.br</t>
  </si>
  <si>
    <t>TELEFONISTA ()</t>
  </si>
  <si>
    <t>CADASTROS E CUSTOS</t>
  </si>
  <si>
    <t>gmrcompras2@gmail.com</t>
  </si>
  <si>
    <t>leidian24</t>
  </si>
  <si>
    <t>ALESSANDRA (J7NC6W1)</t>
  </si>
  <si>
    <t>RH-001</t>
  </si>
  <si>
    <t>William Ximenes</t>
  </si>
  <si>
    <t>william.ximenes@gmr.com.br</t>
  </si>
  <si>
    <t>Matheus Vasconcelos</t>
  </si>
  <si>
    <t>wendel.bastos@gmr.com.br</t>
  </si>
  <si>
    <t>Wendel Bastos</t>
  </si>
  <si>
    <t>WENDEL</t>
  </si>
  <si>
    <t>VENDAS-1921</t>
  </si>
  <si>
    <t>VENDAS-1655</t>
  </si>
  <si>
    <t>MATHEUS VANCENCELOS</t>
  </si>
  <si>
    <t>matheus.vasconcelos@gmr.com.br</t>
  </si>
  <si>
    <t>VENDAS - 2º ANDAR</t>
  </si>
  <si>
    <t>MATHEUS VASCONCELOS</t>
  </si>
  <si>
    <t>Matheus.Vasconcelos</t>
  </si>
  <si>
    <t>wendel.bastos</t>
  </si>
  <si>
    <t>vendasgmr1002@gmail.com</t>
  </si>
  <si>
    <t>Isabela Rezende</t>
  </si>
  <si>
    <t>BRENDA</t>
  </si>
  <si>
    <t>WILLIAM</t>
  </si>
  <si>
    <t>Empregada Jonatas - Barra</t>
  </si>
  <si>
    <t>rodrigo</t>
  </si>
  <si>
    <t>RAFAEL MAGALHAES</t>
  </si>
  <si>
    <t>VENDAS-008</t>
  </si>
  <si>
    <t>SÉRGIO (ANTIGO)</t>
  </si>
  <si>
    <t>OPTIPLEX 7010</t>
  </si>
  <si>
    <t>Intel Core i7-13700</t>
  </si>
  <si>
    <t>SSD 512 WD</t>
  </si>
  <si>
    <t>DIRETORIA100</t>
  </si>
  <si>
    <t>0734</t>
  </si>
  <si>
    <t>!#!Gmrp0o9i8u7.</t>
  </si>
  <si>
    <t>Manuela</t>
  </si>
  <si>
    <t>manuela@gmr.com.br</t>
  </si>
  <si>
    <t>Elisama Rocha</t>
  </si>
  <si>
    <t>elisama.rocha@gmr.com.br</t>
  </si>
  <si>
    <t>ALOIZIO</t>
  </si>
  <si>
    <t>aloizio</t>
  </si>
  <si>
    <t>FISCAL-025</t>
  </si>
  <si>
    <t>aloizio.accioly@gmr.com.br</t>
  </si>
  <si>
    <t>matheus.vasconcelos</t>
  </si>
  <si>
    <t>OPTIPLEX 5070</t>
  </si>
  <si>
    <t>Intel Core i7 9700 with 3.00 GHz,12 MB</t>
  </si>
  <si>
    <t xml:space="preserve">SSD 1 Tera </t>
  </si>
  <si>
    <t>.00451</t>
  </si>
  <si>
    <t>.00453</t>
  </si>
  <si>
    <t>VENDAS-016</t>
  </si>
  <si>
    <t>2GRFD33</t>
  </si>
  <si>
    <t>Matheus Ponciano</t>
  </si>
  <si>
    <t>matheus.ponciano@gmr.com.br</t>
  </si>
  <si>
    <t>matheus.ponciano</t>
  </si>
  <si>
    <t>.1348</t>
  </si>
  <si>
    <t>ELISAMA</t>
  </si>
  <si>
    <t>.1208</t>
  </si>
  <si>
    <t>Jonatas.dantas@gmr.com.br</t>
  </si>
  <si>
    <t>Compras</t>
  </si>
  <si>
    <t>comprasonline@gmr.com.br</t>
  </si>
  <si>
    <t>Jonatas Dantas(Pessoal)</t>
  </si>
  <si>
    <t>jonatas@adxpar.com.br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</si>
</sst>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##,###,###,###"/>
    <numFmt numFmtId="165" formatCode="000,000,000,000"/>
    <numFmt numFmtId="166" formatCode="dd/mm/yy;@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9"/>
      <color rgb="FFFF0000"/>
      <name val="Verdana"/>
      <family val="2"/>
    </font>
    <font>
      <u/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10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0"/>
      <color indexed="81"/>
      <name val="Segoe UI"/>
      <family val="2"/>
    </font>
    <font>
      <b/>
      <sz val="9"/>
      <color indexed="81"/>
      <name val="Arial"/>
      <family val="2"/>
    </font>
    <font>
      <sz val="11"/>
      <color rgb="FF66FF66"/>
      <name val="Calibri"/>
      <family val="2"/>
      <scheme val="minor"/>
    </font>
    <font>
      <b/>
      <sz val="11"/>
      <color rgb="FF66FF66"/>
      <name val="Calibri"/>
      <family val="2"/>
      <scheme val="minor"/>
    </font>
    <font>
      <b/>
      <sz val="26"/>
      <color theme="0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8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9"/>
      <color rgb="FF000000"/>
      <name val="Verdana"/>
      <family val="2"/>
    </font>
  </fonts>
  <fills count="5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FFD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lightUp">
        <bgColor theme="5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lightUp">
        <bgColor theme="1" tint="0.34998626667073579"/>
      </patternFill>
    </fill>
    <fill>
      <patternFill patternType="solid">
        <fgColor rgb="FF00B0F0"/>
        <bgColor indexed="64"/>
      </patternFill>
    </fill>
    <fill>
      <patternFill patternType="lightUp">
        <bgColor rgb="FFD9FFD9"/>
      </patternFill>
    </fill>
    <fill>
      <patternFill patternType="solid">
        <fgColor rgb="FFFF0000"/>
        <bgColor indexed="64"/>
      </patternFill>
    </fill>
    <fill>
      <patternFill patternType="lightUp">
        <bgColor rgb="FFFF0000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lightDown"/>
    </fill>
    <fill>
      <patternFill patternType="solid">
        <fgColor theme="2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lightUp">
        <bgColor rgb="FFFF9999"/>
      </patternFill>
    </fill>
    <fill>
      <patternFill patternType="solid">
        <fgColor theme="0"/>
        <bgColor indexed="64"/>
      </patternFill>
    </fill>
    <fill>
      <patternFill patternType="lightUp"/>
    </fill>
    <fill>
      <patternFill patternType="lightUp">
        <bgColor theme="8" tint="0.39997558519241921"/>
      </patternFill>
    </fill>
    <fill>
      <patternFill patternType="solid">
        <fgColor rgb="FFFFFFCC"/>
        <bgColor indexed="64"/>
      </patternFill>
    </fill>
    <fill>
      <patternFill patternType="lightUp">
        <bgColor rgb="FFFFFFCC"/>
      </patternFill>
    </fill>
    <fill>
      <patternFill patternType="solid">
        <fgColor rgb="FF99FF9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9C9"/>
        <bgColor indexed="64"/>
      </patternFill>
    </fill>
    <fill>
      <patternFill patternType="lightUp">
        <bgColor rgb="FFFFC9C9"/>
      </patternFill>
    </fill>
    <fill>
      <patternFill patternType="lightUp">
        <bgColor rgb="FF00FFFF"/>
      </patternFill>
    </fill>
    <fill>
      <patternFill patternType="lightUp">
        <bgColor theme="8" tint="0.59999389629810485"/>
      </patternFill>
    </fill>
    <fill>
      <patternFill patternType="lightDown">
        <bgColor rgb="FFFFC9C9"/>
      </patternFill>
    </fill>
    <fill>
      <patternFill patternType="solid">
        <fgColor theme="4" tint="0.39997558519241921"/>
        <bgColor indexed="64"/>
      </patternFill>
    </fill>
    <fill>
      <patternFill patternType="lightUp">
        <bgColor theme="4" tint="0.39997558519241921"/>
      </patternFill>
    </fill>
    <fill>
      <patternFill patternType="solid">
        <fgColor theme="8" tint="0.39997558519241921"/>
        <bgColor indexed="64"/>
      </patternFill>
    </fill>
    <fill>
      <patternFill patternType="lightUp">
        <bgColor rgb="FF99FF99"/>
      </patternFill>
    </fill>
    <fill>
      <patternFill patternType="solid">
        <fgColor theme="8" tint="0.39994506668294322"/>
        <bgColor indexed="64"/>
      </patternFill>
    </fill>
    <fill>
      <patternFill patternType="lightUp">
        <fgColor rgb="FFFF0000"/>
        <bgColor theme="5" tint="0.79998168889431442"/>
      </patternFill>
    </fill>
    <fill>
      <patternFill patternType="lightUp">
        <fgColor rgb="FFFF0000"/>
        <bgColor rgb="FFFFC9C9"/>
      </patternFill>
    </fill>
    <fill>
      <patternFill patternType="lightUp">
        <fgColor rgb="FFFF0000"/>
        <bgColor theme="5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lightUp">
        <bgColor theme="2" tint="-9.9978637043366805E-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3" fontId="16" fillId="0" borderId="0" applyFont="0" applyFill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3" fontId="2" fillId="4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/>
    <xf numFmtId="0" fontId="7" fillId="5" borderId="1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0" fillId="8" borderId="1" xfId="0" applyFill="1" applyBorder="1" applyAlignment="1">
      <alignment horizontal="center"/>
    </xf>
    <xf numFmtId="14" fontId="1" fillId="6" borderId="1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0" fontId="0" fillId="6" borderId="1" xfId="0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7" fillId="10" borderId="0" xfId="0" applyFont="1" applyFill="1" applyAlignment="1">
      <alignment horizontal="left"/>
    </xf>
    <xf numFmtId="0" fontId="7" fillId="10" borderId="0" xfId="0" applyFont="1" applyFill="1" applyAlignment="1">
      <alignment horizontal="center"/>
    </xf>
    <xf numFmtId="0" fontId="7" fillId="10" borderId="0" xfId="0" applyFont="1" applyFill="1"/>
    <xf numFmtId="44" fontId="0" fillId="11" borderId="0" xfId="2" applyFont="1" applyFill="1" applyAlignment="1">
      <alignment horizontal="center"/>
    </xf>
    <xf numFmtId="0" fontId="0" fillId="11" borderId="0" xfId="3" applyNumberFormat="1" applyFont="1" applyFill="1" applyAlignment="1">
      <alignment horizontal="center"/>
    </xf>
    <xf numFmtId="0" fontId="0" fillId="11" borderId="0" xfId="0" applyFill="1"/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applyBorder="1"/>
    <xf numFmtId="0" fontId="19" fillId="6" borderId="0" xfId="0" applyFont="1" applyFill="1" applyAlignment="1">
      <alignment horizontal="center"/>
    </xf>
    <xf numFmtId="0" fontId="0" fillId="11" borderId="0" xfId="2" applyNumberFormat="1" applyFont="1" applyFill="1" applyAlignment="1">
      <alignment horizontal="center"/>
    </xf>
    <xf numFmtId="44" fontId="0" fillId="11" borderId="0" xfId="2" applyFont="1" applyFill="1" applyBorder="1" applyAlignment="1">
      <alignment horizontal="center"/>
    </xf>
    <xf numFmtId="0" fontId="0" fillId="11" borderId="0" xfId="2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7" fillId="7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2" fillId="8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3" fontId="2" fillId="8" borderId="1" xfId="0" applyNumberFormat="1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3" fontId="3" fillId="8" borderId="1" xfId="0" applyNumberFormat="1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0" fillId="8" borderId="1" xfId="0" applyFill="1" applyBorder="1"/>
    <xf numFmtId="0" fontId="1" fillId="8" borderId="1" xfId="0" applyFont="1" applyFill="1" applyBorder="1" applyAlignment="1">
      <alignment horizontal="center"/>
    </xf>
    <xf numFmtId="3" fontId="0" fillId="8" borderId="1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4" fontId="0" fillId="15" borderId="1" xfId="0" applyNumberFormat="1" applyFill="1" applyBorder="1" applyAlignment="1">
      <alignment horizontal="left"/>
    </xf>
    <xf numFmtId="14" fontId="0" fillId="8" borderId="1" xfId="0" applyNumberForma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4" borderId="0" xfId="0" applyFill="1"/>
    <xf numFmtId="0" fontId="12" fillId="1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0" fillId="11" borderId="5" xfId="0" applyFill="1" applyBorder="1" applyAlignment="1">
      <alignment horizontal="center"/>
    </xf>
    <xf numFmtId="0" fontId="0" fillId="11" borderId="5" xfId="0" applyFill="1" applyBorder="1"/>
    <xf numFmtId="44" fontId="0" fillId="11" borderId="5" xfId="2" applyFont="1" applyFill="1" applyBorder="1" applyAlignment="1">
      <alignment horizontal="center"/>
    </xf>
    <xf numFmtId="0" fontId="0" fillId="11" borderId="0" xfId="3" applyNumberFormat="1" applyFont="1" applyFill="1" applyBorder="1" applyAlignment="1">
      <alignment horizontal="center"/>
    </xf>
    <xf numFmtId="0" fontId="0" fillId="11" borderId="5" xfId="3" applyNumberFormat="1" applyFont="1" applyFill="1" applyBorder="1" applyAlignment="1">
      <alignment horizontal="center"/>
    </xf>
    <xf numFmtId="14" fontId="0" fillId="11" borderId="5" xfId="0" applyNumberFormat="1" applyFill="1" applyBorder="1" applyAlignment="1">
      <alignment horizontal="center"/>
    </xf>
    <xf numFmtId="14" fontId="0" fillId="8" borderId="1" xfId="0" applyNumberFormat="1" applyFill="1" applyBorder="1"/>
    <xf numFmtId="0" fontId="0" fillId="15" borderId="2" xfId="0" applyFill="1" applyBorder="1" applyAlignment="1">
      <alignment horizontal="center"/>
    </xf>
    <xf numFmtId="1" fontId="0" fillId="8" borderId="2" xfId="0" applyNumberFormat="1" applyFill="1" applyBorder="1" applyAlignment="1">
      <alignment horizontal="center"/>
    </xf>
    <xf numFmtId="1" fontId="0" fillId="15" borderId="2" xfId="0" applyNumberFormat="1" applyFill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16" borderId="5" xfId="0" applyFill="1" applyBorder="1"/>
    <xf numFmtId="0" fontId="0" fillId="17" borderId="0" xfId="0" applyFill="1"/>
    <xf numFmtId="0" fontId="7" fillId="5" borderId="8" xfId="0" applyFont="1" applyFill="1" applyBorder="1" applyAlignment="1">
      <alignment horizontal="left"/>
    </xf>
    <xf numFmtId="0" fontId="7" fillId="5" borderId="8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/>
    <xf numFmtId="0" fontId="0" fillId="19" borderId="1" xfId="0" applyFill="1" applyBorder="1"/>
    <xf numFmtId="0" fontId="0" fillId="20" borderId="6" xfId="0" applyFill="1" applyBorder="1" applyAlignment="1">
      <alignment horizontal="center"/>
    </xf>
    <xf numFmtId="0" fontId="0" fillId="20" borderId="6" xfId="0" applyFill="1" applyBorder="1"/>
    <xf numFmtId="3" fontId="0" fillId="20" borderId="6" xfId="0" applyNumberFormat="1" applyFill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6" xfId="0" applyFill="1" applyBorder="1"/>
    <xf numFmtId="3" fontId="0" fillId="18" borderId="6" xfId="0" applyNumberFormat="1" applyFill="1" applyBorder="1" applyAlignment="1">
      <alignment horizontal="center"/>
    </xf>
    <xf numFmtId="44" fontId="0" fillId="22" borderId="0" xfId="2" applyFont="1" applyFill="1" applyAlignment="1">
      <alignment horizontal="center"/>
    </xf>
    <xf numFmtId="0" fontId="0" fillId="22" borderId="0" xfId="3" applyNumberFormat="1" applyFont="1" applyFill="1" applyAlignment="1">
      <alignment horizontal="center"/>
    </xf>
    <xf numFmtId="14" fontId="0" fillId="22" borderId="0" xfId="0" applyNumberFormat="1" applyFill="1" applyAlignment="1">
      <alignment horizontal="center"/>
    </xf>
    <xf numFmtId="0" fontId="0" fillId="22" borderId="0" xfId="0" applyFill="1"/>
    <xf numFmtId="44" fontId="0" fillId="22" borderId="5" xfId="2" applyFont="1" applyFill="1" applyBorder="1" applyAlignment="1">
      <alignment horizontal="center"/>
    </xf>
    <xf numFmtId="0" fontId="0" fillId="22" borderId="5" xfId="3" applyNumberFormat="1" applyFont="1" applyFill="1" applyBorder="1" applyAlignment="1">
      <alignment horizontal="center"/>
    </xf>
    <xf numFmtId="14" fontId="0" fillId="22" borderId="5" xfId="0" applyNumberFormat="1" applyFill="1" applyBorder="1" applyAlignment="1">
      <alignment horizontal="center"/>
    </xf>
    <xf numFmtId="0" fontId="0" fillId="22" borderId="5" xfId="0" applyFill="1" applyBorder="1"/>
    <xf numFmtId="44" fontId="0" fillId="16" borderId="0" xfId="2" applyFont="1" applyFill="1" applyBorder="1" applyAlignment="1">
      <alignment horizontal="center"/>
    </xf>
    <xf numFmtId="0" fontId="0" fillId="16" borderId="0" xfId="3" applyNumberFormat="1" applyFont="1" applyFill="1" applyBorder="1" applyAlignment="1">
      <alignment horizontal="center"/>
    </xf>
    <xf numFmtId="14" fontId="0" fillId="16" borderId="0" xfId="0" applyNumberFormat="1" applyFill="1" applyAlignment="1">
      <alignment horizontal="center"/>
    </xf>
    <xf numFmtId="0" fontId="0" fillId="16" borderId="0" xfId="0" applyFill="1"/>
    <xf numFmtId="0" fontId="0" fillId="21" borderId="0" xfId="0" applyFill="1"/>
    <xf numFmtId="0" fontId="0" fillId="21" borderId="5" xfId="0" applyFill="1" applyBorder="1"/>
    <xf numFmtId="0" fontId="0" fillId="23" borderId="0" xfId="0" applyFill="1"/>
    <xf numFmtId="0" fontId="0" fillId="23" borderId="5" xfId="0" applyFill="1" applyBorder="1"/>
    <xf numFmtId="44" fontId="0" fillId="14" borderId="0" xfId="2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44" fontId="0" fillId="14" borderId="5" xfId="2" applyFont="1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5" xfId="0" applyFill="1" applyBorder="1"/>
    <xf numFmtId="3" fontId="0" fillId="18" borderId="1" xfId="0" applyNumberFormat="1" applyFill="1" applyBorder="1" applyAlignment="1">
      <alignment horizontal="center"/>
    </xf>
    <xf numFmtId="0" fontId="24" fillId="18" borderId="1" xfId="0" applyFont="1" applyFill="1" applyBorder="1" applyAlignment="1">
      <alignment horizontal="center"/>
    </xf>
    <xf numFmtId="0" fontId="25" fillId="18" borderId="6" xfId="0" applyFont="1" applyFill="1" applyBorder="1" applyAlignment="1">
      <alignment horizontal="center"/>
    </xf>
    <xf numFmtId="0" fontId="25" fillId="18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3" fontId="0" fillId="12" borderId="1" xfId="0" applyNumberFormat="1" applyFill="1" applyBorder="1" applyAlignment="1">
      <alignment horizontal="center"/>
    </xf>
    <xf numFmtId="0" fontId="0" fillId="25" borderId="0" xfId="0" applyFill="1" applyAlignment="1">
      <alignment horizontal="center"/>
    </xf>
    <xf numFmtId="3" fontId="0" fillId="0" borderId="1" xfId="0" applyNumberFormat="1" applyBorder="1" applyAlignment="1">
      <alignment horizontal="left"/>
    </xf>
    <xf numFmtId="0" fontId="3" fillId="26" borderId="0" xfId="0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14" fillId="10" borderId="0" xfId="0" applyFont="1" applyFill="1" applyAlignment="1">
      <alignment horizontal="center"/>
    </xf>
    <xf numFmtId="0" fontId="0" fillId="24" borderId="1" xfId="0" applyFill="1" applyBorder="1" applyAlignment="1">
      <alignment horizontal="center"/>
    </xf>
    <xf numFmtId="0" fontId="19" fillId="0" borderId="0" xfId="0" applyFont="1"/>
    <xf numFmtId="0" fontId="0" fillId="18" borderId="7" xfId="0" applyFill="1" applyBorder="1" applyAlignment="1">
      <alignment horizontal="center"/>
    </xf>
    <xf numFmtId="0" fontId="0" fillId="18" borderId="7" xfId="0" applyFill="1" applyBorder="1"/>
    <xf numFmtId="0" fontId="4" fillId="17" borderId="0" xfId="0" applyFont="1" applyFill="1" applyAlignment="1">
      <alignment horizontal="center"/>
    </xf>
    <xf numFmtId="0" fontId="7" fillId="27" borderId="0" xfId="0" applyFont="1" applyFill="1" applyAlignment="1">
      <alignment horizontal="left"/>
    </xf>
    <xf numFmtId="0" fontId="7" fillId="22" borderId="0" xfId="0" applyFont="1" applyFill="1" applyAlignment="1">
      <alignment horizontal="left"/>
    </xf>
    <xf numFmtId="0" fontId="0" fillId="28" borderId="1" xfId="0" applyFill="1" applyBorder="1" applyAlignment="1">
      <alignment horizontal="center"/>
    </xf>
    <xf numFmtId="0" fontId="0" fillId="28" borderId="1" xfId="0" applyFill="1" applyBorder="1"/>
    <xf numFmtId="0" fontId="0" fillId="28" borderId="10" xfId="0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0" fillId="28" borderId="9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1" xfId="0" applyFill="1" applyBorder="1"/>
    <xf numFmtId="0" fontId="0" fillId="29" borderId="9" xfId="0" applyFill="1" applyBorder="1" applyAlignment="1">
      <alignment horizontal="center"/>
    </xf>
    <xf numFmtId="0" fontId="0" fillId="29" borderId="9" xfId="0" applyFill="1" applyBorder="1"/>
    <xf numFmtId="0" fontId="0" fillId="2" borderId="1" xfId="0" applyFill="1" applyBorder="1"/>
    <xf numFmtId="0" fontId="6" fillId="6" borderId="0" xfId="1" applyFill="1" applyAlignment="1">
      <alignment horizontal="center"/>
    </xf>
    <xf numFmtId="0" fontId="6" fillId="6" borderId="0" xfId="1" applyFill="1" applyBorder="1" applyAlignment="1">
      <alignment horizont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0" fillId="30" borderId="1" xfId="0" applyFill="1" applyBorder="1"/>
    <xf numFmtId="1" fontId="27" fillId="30" borderId="1" xfId="1" applyNumberFormat="1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1" fontId="27" fillId="0" borderId="1" xfId="1" applyNumberFormat="1" applyFont="1" applyFill="1" applyBorder="1" applyAlignment="1">
      <alignment horizontal="center"/>
    </xf>
    <xf numFmtId="0" fontId="28" fillId="30" borderId="1" xfId="1" applyFont="1" applyFill="1" applyBorder="1" applyAlignment="1">
      <alignment horizontal="left"/>
    </xf>
    <xf numFmtId="0" fontId="28" fillId="0" borderId="1" xfId="1" applyFont="1" applyBorder="1" applyAlignment="1">
      <alignment horizontal="left"/>
    </xf>
    <xf numFmtId="0" fontId="28" fillId="8" borderId="1" xfId="1" applyFont="1" applyFill="1" applyBorder="1" applyAlignment="1">
      <alignment horizontal="left"/>
    </xf>
    <xf numFmtId="0" fontId="28" fillId="8" borderId="1" xfId="1" applyFont="1" applyFill="1" applyBorder="1"/>
    <xf numFmtId="0" fontId="28" fillId="8" borderId="6" xfId="1" applyFont="1" applyFill="1" applyBorder="1" applyAlignment="1">
      <alignment horizontal="left"/>
    </xf>
    <xf numFmtId="0" fontId="28" fillId="8" borderId="0" xfId="1" applyFont="1" applyFill="1"/>
    <xf numFmtId="0" fontId="16" fillId="15" borderId="1" xfId="0" applyFont="1" applyFill="1" applyBorder="1" applyAlignment="1">
      <alignment horizontal="center"/>
    </xf>
    <xf numFmtId="0" fontId="28" fillId="0" borderId="1" xfId="1" applyFont="1" applyFill="1" applyBorder="1" applyAlignment="1">
      <alignment horizontal="left"/>
    </xf>
    <xf numFmtId="0" fontId="28" fillId="0" borderId="1" xfId="1" applyFont="1" applyFill="1" applyBorder="1"/>
    <xf numFmtId="0" fontId="28" fillId="0" borderId="0" xfId="1" applyFont="1" applyFill="1"/>
    <xf numFmtId="0" fontId="16" fillId="0" borderId="1" xfId="0" applyFont="1" applyBorder="1" applyAlignment="1">
      <alignment horizontal="center"/>
    </xf>
    <xf numFmtId="3" fontId="16" fillId="0" borderId="1" xfId="0" applyNumberFormat="1" applyFont="1" applyBorder="1" applyAlignment="1">
      <alignment horizontal="left"/>
    </xf>
    <xf numFmtId="1" fontId="28" fillId="0" borderId="1" xfId="1" applyNumberFormat="1" applyFont="1" applyFill="1" applyBorder="1" applyAlignment="1">
      <alignment horizontal="center"/>
    </xf>
    <xf numFmtId="0" fontId="27" fillId="0" borderId="1" xfId="1" applyFont="1" applyFill="1" applyBorder="1"/>
    <xf numFmtId="3" fontId="3" fillId="0" borderId="1" xfId="0" applyNumberFormat="1" applyFont="1" applyBorder="1" applyAlignment="1">
      <alignment horizontal="left"/>
    </xf>
    <xf numFmtId="0" fontId="27" fillId="0" borderId="1" xfId="1" applyFont="1" applyFill="1" applyBorder="1" applyAlignment="1">
      <alignment horizontal="left"/>
    </xf>
    <xf numFmtId="0" fontId="0" fillId="31" borderId="1" xfId="0" applyFill="1" applyBorder="1"/>
    <xf numFmtId="0" fontId="4" fillId="8" borderId="1" xfId="0" applyFont="1" applyFill="1" applyBorder="1" applyAlignment="1">
      <alignment horizontal="left"/>
    </xf>
    <xf numFmtId="0" fontId="0" fillId="32" borderId="1" xfId="0" applyFill="1" applyBorder="1" applyAlignment="1">
      <alignment horizontal="center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44" fontId="3" fillId="11" borderId="0" xfId="2" applyFont="1" applyFill="1" applyAlignment="1">
      <alignment horizontal="center"/>
    </xf>
    <xf numFmtId="14" fontId="3" fillId="11" borderId="0" xfId="0" applyNumberFormat="1" applyFont="1" applyFill="1" applyAlignment="1">
      <alignment horizontal="center"/>
    </xf>
    <xf numFmtId="0" fontId="19" fillId="11" borderId="0" xfId="0" applyFont="1" applyFill="1"/>
    <xf numFmtId="0" fontId="19" fillId="11" borderId="5" xfId="0" applyFont="1" applyFill="1" applyBorder="1"/>
    <xf numFmtId="0" fontId="1" fillId="11" borderId="0" xfId="0" applyFont="1" applyFill="1"/>
    <xf numFmtId="0" fontId="1" fillId="0" borderId="5" xfId="0" applyFont="1" applyBorder="1"/>
    <xf numFmtId="0" fontId="19" fillId="0" borderId="5" xfId="0" applyFont="1" applyBorder="1"/>
    <xf numFmtId="14" fontId="0" fillId="33" borderId="1" xfId="0" applyNumberFormat="1" applyFill="1" applyBorder="1"/>
    <xf numFmtId="1" fontId="0" fillId="33" borderId="2" xfId="0" applyNumberFormat="1" applyFill="1" applyBorder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3" borderId="1" xfId="0" applyFill="1" applyBorder="1" applyAlignment="1">
      <alignment horizontal="left"/>
    </xf>
    <xf numFmtId="0" fontId="4" fillId="33" borderId="1" xfId="0" applyFont="1" applyFill="1" applyBorder="1" applyAlignment="1">
      <alignment horizontal="center"/>
    </xf>
    <xf numFmtId="14" fontId="0" fillId="33" borderId="1" xfId="0" applyNumberFormat="1" applyFill="1" applyBorder="1" applyAlignment="1">
      <alignment horizontal="center"/>
    </xf>
    <xf numFmtId="0" fontId="0" fillId="34" borderId="2" xfId="0" applyFill="1" applyBorder="1" applyAlignment="1">
      <alignment horizontal="center"/>
    </xf>
    <xf numFmtId="0" fontId="0" fillId="34" borderId="1" xfId="0" applyFill="1" applyBorder="1" applyAlignment="1">
      <alignment horizontal="center"/>
    </xf>
    <xf numFmtId="0" fontId="4" fillId="2" borderId="1" xfId="0" applyFont="1" applyFill="1" applyBorder="1"/>
    <xf numFmtId="0" fontId="4" fillId="28" borderId="1" xfId="0" applyFont="1" applyFill="1" applyBorder="1"/>
    <xf numFmtId="0" fontId="0" fillId="35" borderId="6" xfId="0" applyFill="1" applyBorder="1"/>
    <xf numFmtId="0" fontId="0" fillId="35" borderId="6" xfId="0" applyFill="1" applyBorder="1" applyAlignment="1">
      <alignment horizontal="left"/>
    </xf>
    <xf numFmtId="0" fontId="0" fillId="35" borderId="6" xfId="0" applyFill="1" applyBorder="1" applyAlignment="1">
      <alignment horizontal="center"/>
    </xf>
    <xf numFmtId="0" fontId="0" fillId="35" borderId="1" xfId="0" applyFill="1" applyBorder="1"/>
    <xf numFmtId="0" fontId="0" fillId="35" borderId="1" xfId="0" applyFill="1" applyBorder="1" applyAlignment="1">
      <alignment horizontal="left"/>
    </xf>
    <xf numFmtId="0" fontId="0" fillId="35" borderId="1" xfId="0" applyFill="1" applyBorder="1" applyAlignment="1">
      <alignment horizontal="center"/>
    </xf>
    <xf numFmtId="0" fontId="0" fillId="33" borderId="1" xfId="0" applyFill="1" applyBorder="1"/>
    <xf numFmtId="0" fontId="0" fillId="34" borderId="1" xfId="0" applyFill="1" applyBorder="1"/>
    <xf numFmtId="0" fontId="4" fillId="35" borderId="1" xfId="0" applyFont="1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4" fillId="35" borderId="6" xfId="0" applyFont="1" applyFill="1" applyBorder="1" applyAlignment="1">
      <alignment horizontal="center"/>
    </xf>
    <xf numFmtId="0" fontId="29" fillId="10" borderId="0" xfId="0" applyFont="1" applyFill="1"/>
    <xf numFmtId="0" fontId="29" fillId="10" borderId="0" xfId="0" applyFont="1" applyFill="1" applyAlignment="1">
      <alignment horizontal="left"/>
    </xf>
    <xf numFmtId="0" fontId="29" fillId="10" borderId="0" xfId="0" applyFont="1" applyFill="1" applyAlignment="1">
      <alignment horizontal="center"/>
    </xf>
    <xf numFmtId="0" fontId="0" fillId="35" borderId="9" xfId="0" applyFill="1" applyBorder="1"/>
    <xf numFmtId="0" fontId="0" fillId="35" borderId="9" xfId="0" applyFill="1" applyBorder="1" applyAlignment="1">
      <alignment horizontal="left"/>
    </xf>
    <xf numFmtId="0" fontId="0" fillId="35" borderId="9" xfId="0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0" fillId="18" borderId="3" xfId="0" applyFill="1" applyBorder="1"/>
    <xf numFmtId="0" fontId="0" fillId="18" borderId="3" xfId="0" applyFill="1" applyBorder="1" applyAlignment="1">
      <alignment horizontal="center"/>
    </xf>
    <xf numFmtId="0" fontId="0" fillId="19" borderId="3" xfId="0" applyFill="1" applyBorder="1"/>
    <xf numFmtId="0" fontId="14" fillId="18" borderId="3" xfId="0" applyFont="1" applyFill="1" applyBorder="1" applyAlignment="1">
      <alignment horizontal="center"/>
    </xf>
    <xf numFmtId="0" fontId="0" fillId="20" borderId="6" xfId="0" applyFill="1" applyBorder="1" applyAlignment="1">
      <alignment horizontal="center" wrapText="1"/>
    </xf>
    <xf numFmtId="0" fontId="0" fillId="20" borderId="3" xfId="0" applyFill="1" applyBorder="1"/>
    <xf numFmtId="0" fontId="0" fillId="11" borderId="5" xfId="2" applyNumberFormat="1" applyFont="1" applyFill="1" applyBorder="1" applyAlignment="1">
      <alignment horizontal="center"/>
    </xf>
    <xf numFmtId="0" fontId="28" fillId="0" borderId="0" xfId="1" applyFont="1" applyFill="1" applyAlignment="1">
      <alignment horizontal="center"/>
    </xf>
    <xf numFmtId="14" fontId="0" fillId="2" borderId="1" xfId="0" applyNumberFormat="1" applyFill="1" applyBorder="1"/>
    <xf numFmtId="1" fontId="0" fillId="2" borderId="1" xfId="0" applyNumberFormat="1" applyFill="1" applyBorder="1" applyAlignment="1">
      <alignment horizontal="center"/>
    </xf>
    <xf numFmtId="0" fontId="7" fillId="22" borderId="1" xfId="0" applyFont="1" applyFill="1" applyBorder="1" applyAlignment="1">
      <alignment horizontal="center"/>
    </xf>
    <xf numFmtId="0" fontId="7" fillId="22" borderId="1" xfId="0" applyFont="1" applyFill="1" applyBorder="1" applyAlignment="1">
      <alignment horizontal="left"/>
    </xf>
    <xf numFmtId="0" fontId="0" fillId="37" borderId="1" xfId="0" applyFill="1" applyBorder="1" applyAlignment="1">
      <alignment horizontal="center"/>
    </xf>
    <xf numFmtId="0" fontId="2" fillId="37" borderId="1" xfId="0" applyFont="1" applyFill="1" applyBorder="1" applyAlignment="1">
      <alignment horizontal="center"/>
    </xf>
    <xf numFmtId="0" fontId="0" fillId="37" borderId="6" xfId="0" applyFill="1" applyBorder="1" applyAlignment="1">
      <alignment horizontal="center"/>
    </xf>
    <xf numFmtId="0" fontId="3" fillId="37" borderId="1" xfId="0" applyFont="1" applyFill="1" applyBorder="1" applyAlignment="1">
      <alignment horizontal="center"/>
    </xf>
    <xf numFmtId="0" fontId="0" fillId="37" borderId="2" xfId="0" applyFill="1" applyBorder="1" applyAlignment="1">
      <alignment horizontal="center"/>
    </xf>
    <xf numFmtId="0" fontId="2" fillId="37" borderId="0" xfId="0" applyFont="1" applyFill="1" applyAlignment="1">
      <alignment horizontal="center"/>
    </xf>
    <xf numFmtId="0" fontId="0" fillId="38" borderId="1" xfId="0" applyFill="1" applyBorder="1" applyAlignment="1">
      <alignment horizontal="center"/>
    </xf>
    <xf numFmtId="0" fontId="0" fillId="36" borderId="1" xfId="0" applyFill="1" applyBorder="1"/>
    <xf numFmtId="0" fontId="0" fillId="36" borderId="1" xfId="0" applyFill="1" applyBorder="1" applyAlignment="1">
      <alignment horizontal="left"/>
    </xf>
    <xf numFmtId="0" fontId="0" fillId="39" borderId="1" xfId="0" applyFill="1" applyBorder="1"/>
    <xf numFmtId="0" fontId="0" fillId="39" borderId="1" xfId="0" applyFill="1" applyBorder="1" applyAlignment="1">
      <alignment horizontal="center"/>
    </xf>
    <xf numFmtId="0" fontId="0" fillId="36" borderId="9" xfId="0" applyFill="1" applyBorder="1"/>
    <xf numFmtId="0" fontId="0" fillId="36" borderId="9" xfId="0" applyFill="1" applyBorder="1" applyAlignment="1">
      <alignment horizontal="center"/>
    </xf>
    <xf numFmtId="0" fontId="0" fillId="36" borderId="9" xfId="0" applyFill="1" applyBorder="1" applyAlignment="1">
      <alignment horizontal="left"/>
    </xf>
    <xf numFmtId="0" fontId="0" fillId="39" borderId="9" xfId="0" applyFill="1" applyBorder="1"/>
    <xf numFmtId="0" fontId="0" fillId="39" borderId="9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3" fillId="18" borderId="1" xfId="0" applyFont="1" applyFill="1" applyBorder="1" applyAlignment="1">
      <alignment horizontal="left"/>
    </xf>
    <xf numFmtId="0" fontId="12" fillId="18" borderId="1" xfId="0" applyFont="1" applyFill="1" applyBorder="1" applyAlignment="1">
      <alignment horizontal="center"/>
    </xf>
    <xf numFmtId="14" fontId="0" fillId="18" borderId="1" xfId="0" applyNumberFormat="1" applyFill="1" applyBorder="1" applyAlignment="1">
      <alignment horizontal="left"/>
    </xf>
    <xf numFmtId="14" fontId="0" fillId="18" borderId="1" xfId="0" applyNumberFormat="1" applyFill="1" applyBorder="1"/>
    <xf numFmtId="1" fontId="0" fillId="18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1" fontId="0" fillId="18" borderId="2" xfId="0" applyNumberFormat="1" applyFill="1" applyBorder="1" applyAlignment="1">
      <alignment horizontal="center"/>
    </xf>
    <xf numFmtId="14" fontId="0" fillId="18" borderId="1" xfId="0" applyNumberFormat="1" applyFill="1" applyBorder="1" applyAlignment="1">
      <alignment horizontal="center"/>
    </xf>
    <xf numFmtId="14" fontId="1" fillId="18" borderId="1" xfId="0" applyNumberFormat="1" applyFont="1" applyFill="1" applyBorder="1" applyAlignment="1">
      <alignment horizontal="center"/>
    </xf>
    <xf numFmtId="165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4" fontId="0" fillId="12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4" fillId="12" borderId="1" xfId="0" applyFont="1" applyFill="1" applyBorder="1" applyAlignment="1">
      <alignment horizontal="center"/>
    </xf>
    <xf numFmtId="0" fontId="0" fillId="40" borderId="2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14" fontId="0" fillId="12" borderId="1" xfId="0" applyNumberFormat="1" applyFill="1" applyBorder="1"/>
    <xf numFmtId="1" fontId="0" fillId="12" borderId="1" xfId="0" applyNumberFormat="1" applyFill="1" applyBorder="1" applyAlignment="1">
      <alignment horizontal="center"/>
    </xf>
    <xf numFmtId="14" fontId="0" fillId="12" borderId="1" xfId="0" applyNumberForma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left"/>
    </xf>
    <xf numFmtId="14" fontId="1" fillId="12" borderId="1" xfId="0" applyNumberFormat="1" applyFont="1" applyFill="1" applyBorder="1" applyAlignment="1">
      <alignment horizontal="center"/>
    </xf>
    <xf numFmtId="3" fontId="2" fillId="12" borderId="1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0" fillId="37" borderId="0" xfId="0" applyFill="1" applyAlignment="1">
      <alignment horizontal="center"/>
    </xf>
    <xf numFmtId="0" fontId="3" fillId="37" borderId="0" xfId="0" applyFont="1" applyFill="1" applyAlignment="1">
      <alignment horizontal="center"/>
    </xf>
    <xf numFmtId="0" fontId="0" fillId="37" borderId="0" xfId="0" applyFill="1"/>
    <xf numFmtId="0" fontId="3" fillId="41" borderId="0" xfId="0" applyFont="1" applyFill="1" applyAlignment="1">
      <alignment horizontal="center"/>
    </xf>
    <xf numFmtId="0" fontId="3" fillId="33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42" borderId="3" xfId="0" applyFill="1" applyBorder="1" applyAlignment="1">
      <alignment horizontal="center"/>
    </xf>
    <xf numFmtId="0" fontId="0" fillId="42" borderId="3" xfId="0" applyFill="1" applyBorder="1"/>
    <xf numFmtId="0" fontId="0" fillId="42" borderId="1" xfId="0" applyFill="1" applyBorder="1" applyAlignment="1">
      <alignment horizontal="left"/>
    </xf>
    <xf numFmtId="0" fontId="0" fillId="42" borderId="1" xfId="0" applyFill="1" applyBorder="1"/>
    <xf numFmtId="0" fontId="0" fillId="42" borderId="1" xfId="0" applyFill="1" applyBorder="1" applyAlignment="1">
      <alignment horizontal="center"/>
    </xf>
    <xf numFmtId="0" fontId="0" fillId="43" borderId="1" xfId="0" applyFill="1" applyBorder="1"/>
    <xf numFmtId="3" fontId="0" fillId="42" borderId="1" xfId="0" applyNumberFormat="1" applyFill="1" applyBorder="1"/>
    <xf numFmtId="0" fontId="0" fillId="44" borderId="1" xfId="0" applyFill="1" applyBorder="1" applyAlignment="1">
      <alignment horizontal="center"/>
    </xf>
    <xf numFmtId="0" fontId="0" fillId="44" borderId="1" xfId="0" applyFill="1" applyBorder="1"/>
    <xf numFmtId="0" fontId="0" fillId="32" borderId="1" xfId="0" applyFill="1" applyBorder="1"/>
    <xf numFmtId="0" fontId="19" fillId="42" borderId="1" xfId="0" applyFont="1" applyFill="1" applyBorder="1" applyAlignment="1">
      <alignment horizontal="center"/>
    </xf>
    <xf numFmtId="0" fontId="19" fillId="44" borderId="1" xfId="0" applyFont="1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5" fillId="0" borderId="0" xfId="0" applyFont="1" applyAlignment="1">
      <alignment horizontal="center"/>
    </xf>
    <xf numFmtId="14" fontId="0" fillId="0" borderId="0" xfId="0" applyNumberFormat="1"/>
    <xf numFmtId="166" fontId="0" fillId="0" borderId="0" xfId="0" applyNumberFormat="1"/>
    <xf numFmtId="0" fontId="6" fillId="0" borderId="0" xfId="1"/>
    <xf numFmtId="0" fontId="37" fillId="0" borderId="0" xfId="0" applyFont="1" applyAlignment="1">
      <alignment horizontal="center"/>
    </xf>
    <xf numFmtId="0" fontId="0" fillId="45" borderId="1" xfId="0" applyFill="1" applyBorder="1"/>
    <xf numFmtId="0" fontId="0" fillId="45" borderId="1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14" fontId="0" fillId="24" borderId="1" xfId="0" applyNumberFormat="1" applyFill="1" applyBorder="1" applyAlignment="1">
      <alignment horizontal="center"/>
    </xf>
    <xf numFmtId="14" fontId="1" fillId="24" borderId="1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14" fontId="3" fillId="19" borderId="2" xfId="0" applyNumberFormat="1" applyFont="1" applyFill="1" applyBorder="1" applyAlignment="1">
      <alignment horizontal="center"/>
    </xf>
    <xf numFmtId="14" fontId="0" fillId="19" borderId="2" xfId="0" applyNumberFormat="1" applyFill="1" applyBorder="1" applyAlignment="1">
      <alignment horizontal="center"/>
    </xf>
    <xf numFmtId="14" fontId="1" fillId="18" borderId="2" xfId="0" applyNumberFormat="1" applyFont="1" applyFill="1" applyBorder="1" applyAlignment="1">
      <alignment horizontal="center"/>
    </xf>
    <xf numFmtId="14" fontId="0" fillId="32" borderId="2" xfId="0" applyNumberFormat="1" applyFill="1" applyBorder="1" applyAlignment="1">
      <alignment horizontal="center"/>
    </xf>
    <xf numFmtId="14" fontId="0" fillId="15" borderId="2" xfId="0" applyNumberFormat="1" applyFill="1" applyBorder="1" applyAlignment="1">
      <alignment horizontal="center"/>
    </xf>
    <xf numFmtId="14" fontId="1" fillId="15" borderId="2" xfId="0" applyNumberFormat="1" applyFont="1" applyFill="1" applyBorder="1" applyAlignment="1">
      <alignment horizontal="center"/>
    </xf>
    <xf numFmtId="14" fontId="1" fillId="6" borderId="2" xfId="0" applyNumberFormat="1" applyFont="1" applyFill="1" applyBorder="1" applyAlignment="1">
      <alignment horizontal="center"/>
    </xf>
    <xf numFmtId="14" fontId="0" fillId="34" borderId="2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14" fontId="7" fillId="7" borderId="1" xfId="0" applyNumberFormat="1" applyFont="1" applyFill="1" applyBorder="1" applyAlignment="1">
      <alignment horizontal="center"/>
    </xf>
    <xf numFmtId="14" fontId="7" fillId="5" borderId="1" xfId="0" applyNumberFormat="1" applyFont="1" applyFill="1" applyBorder="1" applyAlignment="1">
      <alignment horizontal="center"/>
    </xf>
    <xf numFmtId="14" fontId="3" fillId="18" borderId="1" xfId="0" applyNumberFormat="1" applyFont="1" applyFill="1" applyBorder="1" applyAlignment="1">
      <alignment horizontal="center"/>
    </xf>
    <xf numFmtId="14" fontId="0" fillId="44" borderId="1" xfId="0" applyNumberForma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37" borderId="1" xfId="0" applyNumberFormat="1" applyFill="1" applyBorder="1"/>
    <xf numFmtId="1" fontId="0" fillId="37" borderId="2" xfId="0" applyNumberFormat="1" applyFill="1" applyBorder="1" applyAlignment="1">
      <alignment horizontal="center"/>
    </xf>
    <xf numFmtId="0" fontId="0" fillId="37" borderId="1" xfId="0" applyFill="1" applyBorder="1" applyAlignment="1">
      <alignment horizontal="left"/>
    </xf>
    <xf numFmtId="0" fontId="4" fillId="37" borderId="1" xfId="0" applyFont="1" applyFill="1" applyBorder="1" applyAlignment="1">
      <alignment horizontal="center"/>
    </xf>
    <xf numFmtId="0" fontId="3" fillId="37" borderId="1" xfId="0" applyFont="1" applyFill="1" applyBorder="1" applyAlignment="1">
      <alignment horizontal="left"/>
    </xf>
    <xf numFmtId="14" fontId="0" fillId="37" borderId="1" xfId="0" applyNumberFormat="1" applyFill="1" applyBorder="1" applyAlignment="1">
      <alignment horizontal="center"/>
    </xf>
    <xf numFmtId="3" fontId="0" fillId="37" borderId="1" xfId="0" applyNumberFormat="1" applyFill="1" applyBorder="1" applyAlignment="1">
      <alignment horizontal="center"/>
    </xf>
    <xf numFmtId="0" fontId="28" fillId="37" borderId="0" xfId="1" applyFont="1" applyFill="1"/>
    <xf numFmtId="14" fontId="1" fillId="38" borderId="2" xfId="0" applyNumberFormat="1" applyFont="1" applyFill="1" applyBorder="1" applyAlignment="1">
      <alignment horizontal="center"/>
    </xf>
    <xf numFmtId="0" fontId="28" fillId="37" borderId="1" xfId="1" applyFont="1" applyFill="1" applyBorder="1" applyAlignment="1">
      <alignment horizontal="left"/>
    </xf>
    <xf numFmtId="0" fontId="0" fillId="38" borderId="2" xfId="0" applyFill="1" applyBorder="1" applyAlignment="1">
      <alignment horizontal="center"/>
    </xf>
    <xf numFmtId="14" fontId="0" fillId="24" borderId="2" xfId="0" applyNumberFormat="1" applyFill="1" applyBorder="1" applyAlignment="1">
      <alignment horizontal="center"/>
    </xf>
    <xf numFmtId="14" fontId="0" fillId="38" borderId="2" xfId="0" applyNumberFormat="1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3" fillId="37" borderId="2" xfId="0" applyFont="1" applyFill="1" applyBorder="1" applyAlignment="1">
      <alignment horizontal="center"/>
    </xf>
    <xf numFmtId="14" fontId="3" fillId="37" borderId="1" xfId="0" applyNumberFormat="1" applyFont="1" applyFill="1" applyBorder="1" applyAlignment="1">
      <alignment horizontal="center"/>
    </xf>
    <xf numFmtId="0" fontId="0" fillId="37" borderId="1" xfId="0" applyFill="1" applyBorder="1"/>
    <xf numFmtId="3" fontId="3" fillId="37" borderId="1" xfId="0" applyNumberFormat="1" applyFont="1" applyFill="1" applyBorder="1" applyAlignment="1">
      <alignment horizontal="center"/>
    </xf>
    <xf numFmtId="0" fontId="12" fillId="37" borderId="1" xfId="0" applyFont="1" applyFill="1" applyBorder="1" applyAlignment="1">
      <alignment horizontal="center"/>
    </xf>
    <xf numFmtId="1" fontId="0" fillId="37" borderId="1" xfId="0" applyNumberFormat="1" applyFill="1" applyBorder="1" applyAlignment="1">
      <alignment horizontal="center"/>
    </xf>
    <xf numFmtId="14" fontId="0" fillId="37" borderId="2" xfId="0" applyNumberFormat="1" applyFill="1" applyBorder="1" applyAlignment="1">
      <alignment horizontal="center"/>
    </xf>
    <xf numFmtId="0" fontId="6" fillId="0" borderId="0" xfId="1" applyAlignment="1">
      <alignment horizontal="center"/>
    </xf>
    <xf numFmtId="14" fontId="0" fillId="46" borderId="2" xfId="0" applyNumberFormat="1" applyFill="1" applyBorder="1" applyAlignment="1">
      <alignment horizontal="center"/>
    </xf>
    <xf numFmtId="1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3" fontId="0" fillId="22" borderId="1" xfId="0" applyNumberForma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4" fillId="22" borderId="1" xfId="0" applyFont="1" applyFill="1" applyBorder="1" applyAlignment="1">
      <alignment horizontal="center"/>
    </xf>
    <xf numFmtId="14" fontId="0" fillId="22" borderId="1" xfId="0" applyNumberFormat="1" applyFill="1" applyBorder="1" applyAlignment="1">
      <alignment horizontal="center"/>
    </xf>
    <xf numFmtId="1" fontId="0" fillId="0" borderId="0" xfId="0" applyNumberFormat="1"/>
    <xf numFmtId="1" fontId="0" fillId="33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7" fillId="7" borderId="4" xfId="0" applyNumberFormat="1" applyFont="1" applyFill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" fontId="21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0" fontId="27" fillId="0" borderId="0" xfId="1" applyFont="1" applyAlignment="1">
      <alignment horizontal="center"/>
    </xf>
    <xf numFmtId="14" fontId="0" fillId="47" borderId="1" xfId="0" applyNumberFormat="1" applyFill="1" applyBorder="1"/>
    <xf numFmtId="1" fontId="0" fillId="47" borderId="2" xfId="0" applyNumberFormat="1" applyFill="1" applyBorder="1" applyAlignment="1">
      <alignment horizontal="center"/>
    </xf>
    <xf numFmtId="0" fontId="0" fillId="47" borderId="1" xfId="0" applyFill="1" applyBorder="1" applyAlignment="1">
      <alignment horizontal="center"/>
    </xf>
    <xf numFmtId="0" fontId="0" fillId="47" borderId="1" xfId="0" applyFill="1" applyBorder="1" applyAlignment="1">
      <alignment horizontal="left"/>
    </xf>
    <xf numFmtId="14" fontId="0" fillId="47" borderId="1" xfId="0" applyNumberFormat="1" applyFill="1" applyBorder="1" applyAlignment="1">
      <alignment horizontal="center"/>
    </xf>
    <xf numFmtId="165" fontId="0" fillId="47" borderId="1" xfId="0" applyNumberFormat="1" applyFill="1" applyBorder="1" applyAlignment="1">
      <alignment horizontal="center"/>
    </xf>
    <xf numFmtId="0" fontId="1" fillId="47" borderId="1" xfId="0" applyFont="1" applyFill="1" applyBorder="1" applyAlignment="1">
      <alignment horizontal="center"/>
    </xf>
    <xf numFmtId="0" fontId="4" fillId="47" borderId="1" xfId="0" applyFont="1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28" fillId="47" borderId="1" xfId="1" applyFont="1" applyFill="1" applyBorder="1" applyAlignment="1">
      <alignment horizontal="left"/>
    </xf>
    <xf numFmtId="14" fontId="0" fillId="47" borderId="2" xfId="0" applyNumberFormat="1" applyFill="1" applyBorder="1" applyAlignment="1">
      <alignment horizontal="center"/>
    </xf>
    <xf numFmtId="14" fontId="0" fillId="49" borderId="1" xfId="0" applyNumberFormat="1" applyFill="1" applyBorder="1" applyAlignment="1">
      <alignment horizontal="center"/>
    </xf>
    <xf numFmtId="0" fontId="3" fillId="0" borderId="0" xfId="0" applyFont="1"/>
    <xf numFmtId="1" fontId="27" fillId="0" borderId="0" xfId="1" applyNumberFormat="1" applyFont="1" applyFill="1" applyBorder="1" applyAlignment="1">
      <alignment horizontal="center"/>
    </xf>
    <xf numFmtId="3" fontId="3" fillId="0" borderId="0" xfId="0" applyNumberFormat="1" applyFont="1" applyAlignment="1">
      <alignment horizontal="left"/>
    </xf>
    <xf numFmtId="0" fontId="16" fillId="0" borderId="0" xfId="0" applyFont="1" applyAlignment="1">
      <alignment horizontal="center"/>
    </xf>
    <xf numFmtId="0" fontId="6" fillId="0" borderId="0" xfId="1" applyFill="1" applyBorder="1"/>
    <xf numFmtId="0" fontId="6" fillId="0" borderId="1" xfId="1" applyBorder="1" applyAlignment="1">
      <alignment horizontal="center"/>
    </xf>
    <xf numFmtId="0" fontId="6" fillId="0" borderId="0" xfId="1" applyBorder="1" applyAlignment="1">
      <alignment horizontal="center"/>
    </xf>
    <xf numFmtId="0" fontId="6" fillId="0" borderId="0" xfId="1" applyFill="1" applyBorder="1" applyAlignment="1">
      <alignment horizontal="left" vertical="center"/>
    </xf>
    <xf numFmtId="0" fontId="6" fillId="37" borderId="1" xfId="1" applyFill="1" applyBorder="1" applyAlignment="1">
      <alignment horizontal="left"/>
    </xf>
    <xf numFmtId="0" fontId="7" fillId="5" borderId="0" xfId="0" applyFont="1" applyFill="1" applyAlignment="1">
      <alignment horizontal="left"/>
    </xf>
    <xf numFmtId="0" fontId="0" fillId="42" borderId="6" xfId="0" applyFill="1" applyBorder="1" applyAlignment="1">
      <alignment horizontal="center"/>
    </xf>
    <xf numFmtId="0" fontId="0" fillId="44" borderId="6" xfId="0" applyFill="1" applyBorder="1" applyAlignment="1">
      <alignment horizontal="center"/>
    </xf>
    <xf numFmtId="0" fontId="14" fillId="18" borderId="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6" fillId="37" borderId="1" xfId="1" applyFill="1" applyBorder="1"/>
    <xf numFmtId="0" fontId="6" fillId="8" borderId="1" xfId="1" applyFill="1" applyBorder="1" applyAlignment="1">
      <alignment horizontal="left"/>
    </xf>
    <xf numFmtId="0" fontId="0" fillId="46" borderId="1" xfId="0" applyFill="1" applyBorder="1" applyAlignment="1">
      <alignment horizontal="left"/>
    </xf>
    <xf numFmtId="0" fontId="0" fillId="12" borderId="2" xfId="0" applyFill="1" applyBorder="1" applyAlignment="1">
      <alignment horizontal="center"/>
    </xf>
    <xf numFmtId="14" fontId="0" fillId="44" borderId="2" xfId="0" applyNumberFormat="1" applyFill="1" applyBorder="1" applyAlignment="1">
      <alignment horizontal="center"/>
    </xf>
    <xf numFmtId="14" fontId="0" fillId="8" borderId="2" xfId="0" applyNumberFormat="1" applyFill="1" applyBorder="1" applyAlignment="1">
      <alignment horizontal="center"/>
    </xf>
    <xf numFmtId="0" fontId="6" fillId="6" borderId="1" xfId="1" applyFill="1" applyBorder="1" applyAlignment="1">
      <alignment horizontal="center"/>
    </xf>
    <xf numFmtId="0" fontId="6" fillId="30" borderId="1" xfId="1" applyFill="1" applyBorder="1" applyAlignment="1">
      <alignment horizontal="center"/>
    </xf>
    <xf numFmtId="0" fontId="6" fillId="0" borderId="1" xfId="1" applyFill="1" applyBorder="1"/>
    <xf numFmtId="0" fontId="6" fillId="30" borderId="1" xfId="1" applyFill="1" applyBorder="1" applyAlignment="1">
      <alignment horizontal="left"/>
    </xf>
    <xf numFmtId="3" fontId="0" fillId="0" borderId="0" xfId="0" applyNumberFormat="1" applyAlignment="1">
      <alignment horizontal="left"/>
    </xf>
    <xf numFmtId="0" fontId="6" fillId="0" borderId="1" xfId="1" applyBorder="1"/>
    <xf numFmtId="0" fontId="6" fillId="0" borderId="0" xfId="1" applyAlignment="1">
      <alignment horizontal="left"/>
    </xf>
    <xf numFmtId="12" fontId="0" fillId="0" borderId="0" xfId="0" applyNumberFormat="1"/>
    <xf numFmtId="49" fontId="0" fillId="8" borderId="1" xfId="0" applyNumberFormat="1" applyFill="1" applyBorder="1" applyAlignment="1">
      <alignment horizontal="center"/>
    </xf>
    <xf numFmtId="14" fontId="0" fillId="50" borderId="1" xfId="0" applyNumberFormat="1" applyFill="1" applyBorder="1"/>
    <xf numFmtId="1" fontId="0" fillId="50" borderId="1" xfId="0" applyNumberFormat="1" applyFill="1" applyBorder="1" applyAlignment="1">
      <alignment horizontal="center"/>
    </xf>
    <xf numFmtId="0" fontId="0" fillId="50" borderId="1" xfId="0" applyFill="1" applyBorder="1" applyAlignment="1">
      <alignment horizontal="center"/>
    </xf>
    <xf numFmtId="0" fontId="0" fillId="50" borderId="1" xfId="0" applyFill="1" applyBorder="1" applyAlignment="1">
      <alignment horizontal="left"/>
    </xf>
    <xf numFmtId="0" fontId="3" fillId="50" borderId="1" xfId="0" applyFont="1" applyFill="1" applyBorder="1" applyAlignment="1">
      <alignment horizontal="center"/>
    </xf>
    <xf numFmtId="0" fontId="0" fillId="51" borderId="2" xfId="0" applyFill="1" applyBorder="1" applyAlignment="1">
      <alignment horizontal="center"/>
    </xf>
    <xf numFmtId="3" fontId="0" fillId="50" borderId="1" xfId="0" applyNumberFormat="1" applyFill="1" applyBorder="1" applyAlignment="1">
      <alignment horizontal="center"/>
    </xf>
    <xf numFmtId="0" fontId="0" fillId="51" borderId="1" xfId="0" applyFill="1" applyBorder="1" applyAlignment="1">
      <alignment horizontal="center"/>
    </xf>
    <xf numFmtId="0" fontId="4" fillId="50" borderId="1" xfId="0" applyFont="1" applyFill="1" applyBorder="1" applyAlignment="1">
      <alignment horizontal="center"/>
    </xf>
    <xf numFmtId="14" fontId="0" fillId="50" borderId="2" xfId="0" applyNumberFormat="1" applyFill="1" applyBorder="1" applyAlignment="1">
      <alignment horizontal="center"/>
    </xf>
    <xf numFmtId="14" fontId="0" fillId="50" borderId="1" xfId="0" applyNumberFormat="1" applyFill="1" applyBorder="1" applyAlignment="1">
      <alignment horizontal="center"/>
    </xf>
    <xf numFmtId="0" fontId="6" fillId="8" borderId="1" xfId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7" fillId="3" borderId="0" xfId="0" applyFont="1" applyFill="1" applyAlignment="1">
      <alignment horizontal="center"/>
    </xf>
    <xf numFmtId="0" fontId="26" fillId="7" borderId="0" xfId="0" applyFont="1" applyFill="1" applyAlignment="1">
      <alignment horizontal="center" vertical="center"/>
    </xf>
    <xf numFmtId="0" fontId="0" fillId="0" borderId="0" xfId="0"/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rgb="FFC00000"/>
      </font>
    </dxf>
    <dxf>
      <font>
        <b/>
        <i val="0"/>
        <color rgb="FF0066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border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</dxfs>
  <tableStyles count="2" defaultTableStyle="TableStyleMedium2" defaultPivotStyle="PivotStyleLight16">
    <tableStyle name="Estilo de Tabela 1" pivot="0" count="2" xr9:uid="{00000000-0011-0000-FFFF-FFFF00000000}">
      <tableStyleElement type="firstRowStripe" dxfId="45"/>
      <tableStyleElement type="secondRowStripe" dxfId="44"/>
    </tableStyle>
    <tableStyle name="Estilo de Tabela 2" pivot="0" count="3" xr9:uid="{00000000-0011-0000-FFFF-FFFF01000000}">
      <tableStyleElement type="wholeTable" dxfId="43"/>
      <tableStyleElement type="firstRowStripe" dxfId="42"/>
      <tableStyleElement type="secondRowStripe" dxfId="41"/>
    </tableStyle>
  </tableStyles>
  <colors>
    <mruColors>
      <color rgb="FFFFC9C9"/>
      <color rgb="FFFF5050"/>
      <color rgb="FF99FF99"/>
      <color rgb="FF008000"/>
      <color rgb="FFFFFFCC"/>
      <color rgb="FF006600"/>
      <color rgb="FF00FFFF"/>
      <color rgb="FFD9FFD9"/>
      <color rgb="FFFF9999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uporte" id="{EBD6062D-B1AA-481F-A4D6-22DB61F1A838}" userId="Suport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2:E251" totalsRowShown="0" headerRowDxfId="26" dataDxfId="25" tableBorderDxfId="24">
  <autoFilter ref="A2:E251" xr:uid="{00000000-0009-0000-0100-000002000000}"/>
  <sortState xmlns:xlrd2="http://schemas.microsoft.com/office/spreadsheetml/2017/richdata2" ref="A3:E251">
    <sortCondition ref="C2:C251"/>
  </sortState>
  <tableColumns count="5">
    <tableColumn id="1" xr3:uid="{00000000-0010-0000-0000-000001000000}" name="EQUIPAMENTO" dataDxfId="23"/>
    <tableColumn id="2" xr3:uid="{00000000-0010-0000-0000-000002000000}" name="HOST" dataDxfId="22"/>
    <tableColumn id="3" xr3:uid="{00000000-0010-0000-0000-000003000000}" name="IP" dataDxfId="21"/>
    <tableColumn id="4" xr3:uid="{00000000-0010-0000-0000-000004000000}" name="USUÁRIO" dataDxfId="20"/>
    <tableColumn id="6" xr3:uid="{00000000-0010-0000-0000-000006000000}" name="STATUS" dataDxfId="19"/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7FEAEE-C2CD-4649-B95C-FD4FEACB8DF8}" name="Tabela22" displayName="Tabela22" ref="A2:G251" totalsRowShown="0" headerRowDxfId="18" dataDxfId="17" tableBorderDxfId="16">
  <autoFilter ref="A2:G251" xr:uid="{687FEAEE-C2CD-4649-B95C-FD4FEACB8DF8}"/>
  <tableColumns count="7">
    <tableColumn id="1" xr3:uid="{7F530CDB-C325-482C-9E4E-210E00665184}" name="EQUIPAMENTO" dataDxfId="15"/>
    <tableColumn id="8" xr3:uid="{75E05548-9F34-4E94-92D6-2FE49D68F399}" name="IP" dataDxfId="14"/>
    <tableColumn id="2" xr3:uid="{194B4742-6DDB-4DF1-8E1E-0523A47F8681}" name="HOST" dataDxfId="13"/>
    <tableColumn id="5" xr3:uid="{8404FD05-545B-4132-960A-DB390E01987F}" name="Switch" dataDxfId="12"/>
    <tableColumn id="7" xr3:uid="{7C5D2C34-A9D1-485B-9E31-87552315EA93}" name="Porta" dataDxfId="11"/>
    <tableColumn id="4" xr3:uid="{7DD0F5FE-9891-4901-B85A-6C8346DE72A3}" name="USUÁRIO" dataDxfId="10"/>
    <tableColumn id="6" xr3:uid="{092468F9-BAD3-4B8A-80D4-26065EB2F7B5}" name="STATUS" dataDxfId="9"/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A2:F119" totalsRowShown="0" headerRowDxfId="7" dataDxfId="6">
  <autoFilter ref="A2:F119" xr:uid="{00000000-0009-0000-0100-000004000000}"/>
  <tableColumns count="6">
    <tableColumn id="1" xr3:uid="{00000000-0010-0000-0200-000001000000}" name="USUÁRIO" dataDxfId="5"/>
    <tableColumn id="2" xr3:uid="{00000000-0010-0000-0200-000002000000}" name="Coluna1" dataDxfId="4"/>
    <tableColumn id="6" xr3:uid="{3D16E4A5-7925-4AA9-B475-9D155A37D1C7}" name="Status" dataDxfId="3" dataCellStyle="Hiperlink"/>
    <tableColumn id="3" xr3:uid="{00000000-0010-0000-0200-000003000000}" name="SENHA" dataDxfId="2"/>
    <tableColumn id="4" xr3:uid="{00000000-0010-0000-0200-000004000000}" name="NOVA SENHA2" dataDxfId="1"/>
    <tableColumn id="5" xr3:uid="{00000000-0010-0000-0200-000005000000}" name="OBS" dataDxfId="0"/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zul Quente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1" dT="2021-12-15T19:07:20.16" personId="{EBD6062D-B1AA-481F-A4D6-22DB61F1A838}" id="{23864E5C-9A51-41CC-86AF-8D3927796530}">
    <text>IMPRESSORA SUBSTITUIDA POR UMA MULTIFUNCIONAL HP - CHRISTIANO RETIROU A IMPRESSORA DEFEITUOSA DA NOSSA EMPRESSA EM 15/12/2021 AS 11:10H</text>
  </threadedComment>
  <threadedComment ref="M22" dT="2021-12-15T19:02:33.53" personId="{EBD6062D-B1AA-481F-A4D6-22DB61F1A838}" id="{922B2E9C-33FE-4A55-BCAD-EC62E63C42CF}">
    <text>IMPRESSORA SUBSTITUIDA POR UMA BROTHER - CHRISTIANO RETIROU ESSA HP DA NOSSA EMPRESSA EM 15/12/2021 AS 11:10H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fl&#225;vio.magno@gmr.com.br" TargetMode="External"/><Relationship Id="rId18" Type="http://schemas.openxmlformats.org/officeDocument/2006/relationships/hyperlink" Target="mailto:alessandra.silva@gmr.com.br" TargetMode="External"/><Relationship Id="rId26" Type="http://schemas.openxmlformats.org/officeDocument/2006/relationships/hyperlink" Target="mailto:jansen@gmr.com.br" TargetMode="External"/><Relationship Id="rId39" Type="http://schemas.openxmlformats.org/officeDocument/2006/relationships/hyperlink" Target="mailto:expedicao@gmr.com.br" TargetMode="External"/><Relationship Id="rId21" Type="http://schemas.openxmlformats.org/officeDocument/2006/relationships/hyperlink" Target="mailto:matheus.vasconcelos@gmr.com.br" TargetMode="External"/><Relationship Id="rId34" Type="http://schemas.openxmlformats.org/officeDocument/2006/relationships/hyperlink" Target="mailto:janaina.valentim@gmr.com.br" TargetMode="External"/><Relationship Id="rId42" Type="http://schemas.openxmlformats.org/officeDocument/2006/relationships/hyperlink" Target="mailto:wendel.bastos@gmr.com.br" TargetMode="External"/><Relationship Id="rId47" Type="http://schemas.openxmlformats.org/officeDocument/2006/relationships/hyperlink" Target="mailto:thaina.santos@gmr.com.br" TargetMode="External"/><Relationship Id="rId50" Type="http://schemas.openxmlformats.org/officeDocument/2006/relationships/hyperlink" Target="mailto:alessandra.silva@gmr.com.br" TargetMode="External"/><Relationship Id="rId7" Type="http://schemas.openxmlformats.org/officeDocument/2006/relationships/hyperlink" Target="mailto:liliane.jorge@gmr.com.br" TargetMode="External"/><Relationship Id="rId2" Type="http://schemas.openxmlformats.org/officeDocument/2006/relationships/hyperlink" Target="mailto:anna.maria@gmr.com.br" TargetMode="External"/><Relationship Id="rId16" Type="http://schemas.openxmlformats.org/officeDocument/2006/relationships/hyperlink" Target="mailto:valmir@gmr.com.br" TargetMode="External"/><Relationship Id="rId29" Type="http://schemas.openxmlformats.org/officeDocument/2006/relationships/hyperlink" Target="mailto:lucas.leal@gmr.com.br" TargetMode="External"/><Relationship Id="rId11" Type="http://schemas.openxmlformats.org/officeDocument/2006/relationships/hyperlink" Target="mailto:recepcao@gmr.com.br" TargetMode="External"/><Relationship Id="rId24" Type="http://schemas.openxmlformats.org/officeDocument/2006/relationships/hyperlink" Target="mailto:thaina.santos@gmr.com.br" TargetMode="External"/><Relationship Id="rId32" Type="http://schemas.openxmlformats.org/officeDocument/2006/relationships/hyperlink" Target="mailto:wabner@gmr.com.br" TargetMode="External"/><Relationship Id="rId37" Type="http://schemas.openxmlformats.org/officeDocument/2006/relationships/hyperlink" Target="mailto:recebimento@gmr.com.br" TargetMode="External"/><Relationship Id="rId40" Type="http://schemas.openxmlformats.org/officeDocument/2006/relationships/hyperlink" Target="mailto:matheus.ponciano@gmr.com.br" TargetMode="External"/><Relationship Id="rId45" Type="http://schemas.openxmlformats.org/officeDocument/2006/relationships/hyperlink" Target="mailto:wagner.silva@gmr.com.br" TargetMode="External"/><Relationship Id="rId53" Type="http://schemas.openxmlformats.org/officeDocument/2006/relationships/vmlDrawing" Target="../drawings/vmlDrawing1.vml"/><Relationship Id="rId5" Type="http://schemas.openxmlformats.org/officeDocument/2006/relationships/hyperlink" Target="mailto:ester.sa@gmr.com.br" TargetMode="External"/><Relationship Id="rId10" Type="http://schemas.openxmlformats.org/officeDocument/2006/relationships/hyperlink" Target="mailto:rodrigo@gmr.com.br" TargetMode="External"/><Relationship Id="rId19" Type="http://schemas.openxmlformats.org/officeDocument/2006/relationships/hyperlink" Target="mailto:elisama.rocha@gmr.com.br" TargetMode="External"/><Relationship Id="rId31" Type="http://schemas.openxmlformats.org/officeDocument/2006/relationships/hyperlink" Target="mailto:tiago.areias@gmr.com.br" TargetMode="External"/><Relationship Id="rId44" Type="http://schemas.openxmlformats.org/officeDocument/2006/relationships/hyperlink" Target="mailto:mila.pires@gmr.com.br" TargetMode="External"/><Relationship Id="rId52" Type="http://schemas.openxmlformats.org/officeDocument/2006/relationships/printerSettings" Target="../printerSettings/printerSettings1.bin"/><Relationship Id="rId4" Type="http://schemas.openxmlformats.org/officeDocument/2006/relationships/hyperlink" Target="mailto:sheila.garrido@gmr.com.br" TargetMode="External"/><Relationship Id="rId9" Type="http://schemas.openxmlformats.org/officeDocument/2006/relationships/hyperlink" Target="mailto:gilberto.pedra@gmr.com.br" TargetMode="External"/><Relationship Id="rId14" Type="http://schemas.openxmlformats.org/officeDocument/2006/relationships/hyperlink" Target="mailto:ezequiel.oliveira@gmr.com.br" TargetMode="External"/><Relationship Id="rId22" Type="http://schemas.openxmlformats.org/officeDocument/2006/relationships/hyperlink" Target="mailto:rafael.magalhaes@gmr.com.br" TargetMode="External"/><Relationship Id="rId27" Type="http://schemas.openxmlformats.org/officeDocument/2006/relationships/hyperlink" Target="mailto:flora.morais@gmr.com.br" TargetMode="External"/><Relationship Id="rId30" Type="http://schemas.openxmlformats.org/officeDocument/2006/relationships/hyperlink" Target="mailto:julio@gmr.com.br" TargetMode="External"/><Relationship Id="rId35" Type="http://schemas.openxmlformats.org/officeDocument/2006/relationships/hyperlink" Target="mailto:luciana@gmr.com.br" TargetMode="External"/><Relationship Id="rId43" Type="http://schemas.openxmlformats.org/officeDocument/2006/relationships/hyperlink" Target="mailto:jonatas@gmr.com.br" TargetMode="External"/><Relationship Id="rId48" Type="http://schemas.openxmlformats.org/officeDocument/2006/relationships/hyperlink" Target="mailto:leandra.silva@gmr.com.br" TargetMode="External"/><Relationship Id="rId8" Type="http://schemas.openxmlformats.org/officeDocument/2006/relationships/hyperlink" Target="mailto:sa@gmr.com.br" TargetMode="External"/><Relationship Id="rId51" Type="http://schemas.openxmlformats.org/officeDocument/2006/relationships/hyperlink" Target="mailto:matheus.vasconcelos@gmr.com.br" TargetMode="External"/><Relationship Id="rId3" Type="http://schemas.openxmlformats.org/officeDocument/2006/relationships/hyperlink" Target="mailto:fabricio.carvalho@gmr.com.br" TargetMode="External"/><Relationship Id="rId12" Type="http://schemas.openxmlformats.org/officeDocument/2006/relationships/hyperlink" Target="mailto:fl&#225;vio.magno@gmr.com.br" TargetMode="External"/><Relationship Id="rId17" Type="http://schemas.openxmlformats.org/officeDocument/2006/relationships/hyperlink" Target="mailto:veronica@gmr.com.br" TargetMode="External"/><Relationship Id="rId25" Type="http://schemas.openxmlformats.org/officeDocument/2006/relationships/hyperlink" Target="mailto:patricia@gmr.com.br" TargetMode="External"/><Relationship Id="rId33" Type="http://schemas.openxmlformats.org/officeDocument/2006/relationships/hyperlink" Target="mailto:joao.mendonca@gmr.com.br" TargetMode="External"/><Relationship Id="rId38" Type="http://schemas.openxmlformats.org/officeDocument/2006/relationships/hyperlink" Target="mailto:wandre.oliveira@gmr.com.br" TargetMode="External"/><Relationship Id="rId46" Type="http://schemas.openxmlformats.org/officeDocument/2006/relationships/hyperlink" Target="mailto:rafael.magalhaes@gmr.com.br" TargetMode="External"/><Relationship Id="rId20" Type="http://schemas.openxmlformats.org/officeDocument/2006/relationships/hyperlink" Target="mailto:isabela.rezende@gmr.com.br" TargetMode="External"/><Relationship Id="rId41" Type="http://schemas.openxmlformats.org/officeDocument/2006/relationships/hyperlink" Target="mailto:jonatas@gmr.com.br" TargetMode="External"/><Relationship Id="rId54" Type="http://schemas.openxmlformats.org/officeDocument/2006/relationships/comments" Target="../comments1.xml"/><Relationship Id="rId1" Type="http://schemas.openxmlformats.org/officeDocument/2006/relationships/hyperlink" Target="mailto:valerio.alves@gmr.com.br" TargetMode="External"/><Relationship Id="rId6" Type="http://schemas.openxmlformats.org/officeDocument/2006/relationships/hyperlink" Target="mailto:alvaro@gmr.com.br" TargetMode="External"/><Relationship Id="rId15" Type="http://schemas.openxmlformats.org/officeDocument/2006/relationships/hyperlink" Target="mailto:jhenyfer.bier@gmr.com.br" TargetMode="External"/><Relationship Id="rId23" Type="http://schemas.openxmlformats.org/officeDocument/2006/relationships/hyperlink" Target="mailto:aloizio.accioly@gmr.com.br" TargetMode="External"/><Relationship Id="rId28" Type="http://schemas.openxmlformats.org/officeDocument/2006/relationships/hyperlink" Target="mailto:marcelo.cerqueira@gmr.com.br" TargetMode="External"/><Relationship Id="rId36" Type="http://schemas.openxmlformats.org/officeDocument/2006/relationships/hyperlink" Target="mailto:luana@gmr.com.br" TargetMode="External"/><Relationship Id="rId49" Type="http://schemas.openxmlformats.org/officeDocument/2006/relationships/hyperlink" Target="mailto:wendel.bastos@gmr.com.b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alvaro@gmr.com.br" TargetMode="External"/><Relationship Id="rId21" Type="http://schemas.openxmlformats.org/officeDocument/2006/relationships/hyperlink" Target="mailto:fabricio.carvalho@gmr.com.br" TargetMode="External"/><Relationship Id="rId42" Type="http://schemas.openxmlformats.org/officeDocument/2006/relationships/hyperlink" Target="mailto:vendasgmr12@gmail.com" TargetMode="External"/><Relationship Id="rId47" Type="http://schemas.openxmlformats.org/officeDocument/2006/relationships/hyperlink" Target="mailto:apagargmr1@gmail.com" TargetMode="External"/><Relationship Id="rId63" Type="http://schemas.openxmlformats.org/officeDocument/2006/relationships/hyperlink" Target="mailto:#_wH@ts." TargetMode="External"/><Relationship Id="rId68" Type="http://schemas.openxmlformats.org/officeDocument/2006/relationships/hyperlink" Target="mailto:vendasgmr1002@gmail.com" TargetMode="External"/><Relationship Id="rId2" Type="http://schemas.openxmlformats.org/officeDocument/2006/relationships/hyperlink" Target="https://api.whatsapp.com/send?phone=552138655867" TargetMode="External"/><Relationship Id="rId16" Type="http://schemas.openxmlformats.org/officeDocument/2006/relationships/hyperlink" Target="mailto:tiago.areias@gmr.com.br" TargetMode="External"/><Relationship Id="rId29" Type="http://schemas.openxmlformats.org/officeDocument/2006/relationships/hyperlink" Target="mailto:julio@gmr.com.br" TargetMode="External"/><Relationship Id="rId11" Type="http://schemas.openxmlformats.org/officeDocument/2006/relationships/hyperlink" Target="https://api.whatsapp.com/send?phone=552138655814" TargetMode="External"/><Relationship Id="rId24" Type="http://schemas.openxmlformats.org/officeDocument/2006/relationships/hyperlink" Target="mailto:joao.mendonca@gmr.com.br" TargetMode="External"/><Relationship Id="rId32" Type="http://schemas.openxmlformats.org/officeDocument/2006/relationships/hyperlink" Target="mailto:vendasgmr1@gmail.com" TargetMode="External"/><Relationship Id="rId37" Type="http://schemas.openxmlformats.org/officeDocument/2006/relationships/hyperlink" Target="mailto:vendasgmr9@gmail.com" TargetMode="External"/><Relationship Id="rId40" Type="http://schemas.openxmlformats.org/officeDocument/2006/relationships/hyperlink" Target="mailto:vendasgmr8@gmail.com" TargetMode="External"/><Relationship Id="rId45" Type="http://schemas.openxmlformats.org/officeDocument/2006/relationships/hyperlink" Target="mailto:vendasgmr16@gmail.com" TargetMode="External"/><Relationship Id="rId53" Type="http://schemas.openxmlformats.org/officeDocument/2006/relationships/hyperlink" Target="mailto:financeiro@anadantasranch.com.br" TargetMode="External"/><Relationship Id="rId58" Type="http://schemas.openxmlformats.org/officeDocument/2006/relationships/hyperlink" Target="mailto:#_wH@ts." TargetMode="External"/><Relationship Id="rId66" Type="http://schemas.openxmlformats.org/officeDocument/2006/relationships/hyperlink" Target="mailto:#_wH@ts." TargetMode="External"/><Relationship Id="rId74" Type="http://schemas.openxmlformats.org/officeDocument/2006/relationships/hyperlink" Target="mailto:#_wH@ts." TargetMode="External"/><Relationship Id="rId5" Type="http://schemas.openxmlformats.org/officeDocument/2006/relationships/hyperlink" Target="https://api.whatsapp.com/send?phone=552138655802" TargetMode="External"/><Relationship Id="rId61" Type="http://schemas.openxmlformats.org/officeDocument/2006/relationships/hyperlink" Target="mailto:gmrorgaospublicos@gmail.com" TargetMode="External"/><Relationship Id="rId19" Type="http://schemas.openxmlformats.org/officeDocument/2006/relationships/hyperlink" Target="mailto:valerio.alves@gmr.com.br" TargetMode="External"/><Relationship Id="rId14" Type="http://schemas.openxmlformats.org/officeDocument/2006/relationships/hyperlink" Target="mailto:vendasgmr14@gmail.com" TargetMode="External"/><Relationship Id="rId22" Type="http://schemas.openxmlformats.org/officeDocument/2006/relationships/hyperlink" Target="mailto:sheila.garrido@gmr.com.br" TargetMode="External"/><Relationship Id="rId27" Type="http://schemas.openxmlformats.org/officeDocument/2006/relationships/hyperlink" Target="mailto:janaina.valentim@gmr.com.br" TargetMode="External"/><Relationship Id="rId30" Type="http://schemas.openxmlformats.org/officeDocument/2006/relationships/hyperlink" Target="mailto:sa@gmr.com.br" TargetMode="External"/><Relationship Id="rId35" Type="http://schemas.openxmlformats.org/officeDocument/2006/relationships/hyperlink" Target="mailto:vendasgmr2@gmail.com" TargetMode="External"/><Relationship Id="rId43" Type="http://schemas.openxmlformats.org/officeDocument/2006/relationships/hyperlink" Target="mailto:vendasgmr13@gmail.com" TargetMode="External"/><Relationship Id="rId48" Type="http://schemas.openxmlformats.org/officeDocument/2006/relationships/hyperlink" Target="mailto:apagargmr2@gmail.com" TargetMode="External"/><Relationship Id="rId56" Type="http://schemas.openxmlformats.org/officeDocument/2006/relationships/hyperlink" Target="mailto:rhgmr1@gmail.com" TargetMode="External"/><Relationship Id="rId64" Type="http://schemas.openxmlformats.org/officeDocument/2006/relationships/hyperlink" Target="mailto:gmrcompras2@gmail.com" TargetMode="External"/><Relationship Id="rId69" Type="http://schemas.openxmlformats.org/officeDocument/2006/relationships/hyperlink" Target="mailto:#_wH@ts." TargetMode="External"/><Relationship Id="rId8" Type="http://schemas.openxmlformats.org/officeDocument/2006/relationships/hyperlink" Target="https://api.whatsapp.com/send?phone=552138655805" TargetMode="External"/><Relationship Id="rId51" Type="http://schemas.openxmlformats.org/officeDocument/2006/relationships/hyperlink" Target="mailto:patricia@gmr.com.br" TargetMode="External"/><Relationship Id="rId72" Type="http://schemas.openxmlformats.org/officeDocument/2006/relationships/hyperlink" Target="mailto:rafael.magalhaes@gmr.com.br" TargetMode="External"/><Relationship Id="rId3" Type="http://schemas.openxmlformats.org/officeDocument/2006/relationships/hyperlink" Target="https://api.whatsapp.com/send?phone=552138655807" TargetMode="External"/><Relationship Id="rId12" Type="http://schemas.openxmlformats.org/officeDocument/2006/relationships/hyperlink" Target="https://api.whatsapp.com/send?phone=552138655812" TargetMode="External"/><Relationship Id="rId17" Type="http://schemas.openxmlformats.org/officeDocument/2006/relationships/hyperlink" Target="mailto:marcelo.cerqueira@gmr.com.br" TargetMode="External"/><Relationship Id="rId25" Type="http://schemas.openxmlformats.org/officeDocument/2006/relationships/hyperlink" Target="mailto:wabner@gmr.com.br" TargetMode="External"/><Relationship Id="rId33" Type="http://schemas.openxmlformats.org/officeDocument/2006/relationships/hyperlink" Target="mailto:vendasgmr5@gmail.com" TargetMode="External"/><Relationship Id="rId38" Type="http://schemas.openxmlformats.org/officeDocument/2006/relationships/hyperlink" Target="mailto:vendasgmr7@gmail.com" TargetMode="External"/><Relationship Id="rId46" Type="http://schemas.openxmlformats.org/officeDocument/2006/relationships/hyperlink" Target="mailto:gmrsuporte@gmail.com" TargetMode="External"/><Relationship Id="rId59" Type="http://schemas.openxmlformats.org/officeDocument/2006/relationships/hyperlink" Target="mailto:mila.pires@gmr.com.br" TargetMode="External"/><Relationship Id="rId67" Type="http://schemas.openxmlformats.org/officeDocument/2006/relationships/hyperlink" Target="mailto:#_wH@ts." TargetMode="External"/><Relationship Id="rId20" Type="http://schemas.openxmlformats.org/officeDocument/2006/relationships/hyperlink" Target="mailto:anna.maria@gmr.com.br" TargetMode="External"/><Relationship Id="rId41" Type="http://schemas.openxmlformats.org/officeDocument/2006/relationships/hyperlink" Target="mailto:vendasgmr10@gmail.com" TargetMode="External"/><Relationship Id="rId54" Type="http://schemas.openxmlformats.org/officeDocument/2006/relationships/hyperlink" Target="mailto:diretorgmr@gmail.com" TargetMode="External"/><Relationship Id="rId62" Type="http://schemas.openxmlformats.org/officeDocument/2006/relationships/hyperlink" Target="mailto:luana@gmr.com.br" TargetMode="External"/><Relationship Id="rId70" Type="http://schemas.openxmlformats.org/officeDocument/2006/relationships/hyperlink" Target="mailto:wendel.bastos@gmr.com.br" TargetMode="External"/><Relationship Id="rId75" Type="http://schemas.openxmlformats.org/officeDocument/2006/relationships/hyperlink" Target="mailto:isabela.rezende@gmr.com.br" TargetMode="External"/><Relationship Id="rId1" Type="http://schemas.openxmlformats.org/officeDocument/2006/relationships/hyperlink" Target="https://api.whatsapp.com/send?phone=552138655825" TargetMode="External"/><Relationship Id="rId6" Type="http://schemas.openxmlformats.org/officeDocument/2006/relationships/hyperlink" Target="https://api.whatsapp.com/send?phone=552138655810" TargetMode="External"/><Relationship Id="rId15" Type="http://schemas.openxmlformats.org/officeDocument/2006/relationships/hyperlink" Target="mailto:flora.morais@gmr.com.br" TargetMode="External"/><Relationship Id="rId23" Type="http://schemas.openxmlformats.org/officeDocument/2006/relationships/hyperlink" Target="mailto:ester.sa@gmr.com.br" TargetMode="External"/><Relationship Id="rId28" Type="http://schemas.openxmlformats.org/officeDocument/2006/relationships/hyperlink" Target="mailto:jansen@gmr.com.br" TargetMode="External"/><Relationship Id="rId36" Type="http://schemas.openxmlformats.org/officeDocument/2006/relationships/hyperlink" Target="mailto:vendasgmr6@gmail.com" TargetMode="External"/><Relationship Id="rId49" Type="http://schemas.openxmlformats.org/officeDocument/2006/relationships/hyperlink" Target="mailto:adantasranch@gmail.com" TargetMode="External"/><Relationship Id="rId57" Type="http://schemas.openxmlformats.org/officeDocument/2006/relationships/hyperlink" Target="mailto:gmrfaturamento@gmail.com" TargetMode="External"/><Relationship Id="rId10" Type="http://schemas.openxmlformats.org/officeDocument/2006/relationships/hyperlink" Target="https://api.whatsapp.com/send?phone=552138655882" TargetMode="External"/><Relationship Id="rId31" Type="http://schemas.openxmlformats.org/officeDocument/2006/relationships/hyperlink" Target="mailto:vendasgmr4@gmail.com" TargetMode="External"/><Relationship Id="rId44" Type="http://schemas.openxmlformats.org/officeDocument/2006/relationships/hyperlink" Target="mailto:vendasgmr15@gmail.com" TargetMode="External"/><Relationship Id="rId52" Type="http://schemas.openxmlformats.org/officeDocument/2006/relationships/hyperlink" Target="mailto:liliane.jorge@gmr.com.br" TargetMode="External"/><Relationship Id="rId60" Type="http://schemas.openxmlformats.org/officeDocument/2006/relationships/hyperlink" Target="mailto:#_wH@ts." TargetMode="External"/><Relationship Id="rId65" Type="http://schemas.openxmlformats.org/officeDocument/2006/relationships/hyperlink" Target="mailto:rodrigo@gmr.com.br" TargetMode="External"/><Relationship Id="rId73" Type="http://schemas.openxmlformats.org/officeDocument/2006/relationships/hyperlink" Target="mailto:#_wH@ts." TargetMode="External"/><Relationship Id="rId4" Type="http://schemas.openxmlformats.org/officeDocument/2006/relationships/hyperlink" Target="https://api.whatsapp.com/send?phone=552138655876" TargetMode="External"/><Relationship Id="rId9" Type="http://schemas.openxmlformats.org/officeDocument/2006/relationships/hyperlink" Target="https://api.whatsapp.com/send?phone=552138655847" TargetMode="External"/><Relationship Id="rId13" Type="http://schemas.openxmlformats.org/officeDocument/2006/relationships/hyperlink" Target="https://api.whatsapp.com/send?phone=552138655822" TargetMode="External"/><Relationship Id="rId18" Type="http://schemas.openxmlformats.org/officeDocument/2006/relationships/hyperlink" Target="mailto:lucas.leal@gmr.com.br" TargetMode="External"/><Relationship Id="rId39" Type="http://schemas.openxmlformats.org/officeDocument/2006/relationships/hyperlink" Target="mailto:vendasgmr11@gmail.com" TargetMode="External"/><Relationship Id="rId34" Type="http://schemas.openxmlformats.org/officeDocument/2006/relationships/hyperlink" Target="mailto:vendasgmr3@gmail.com" TargetMode="External"/><Relationship Id="rId50" Type="http://schemas.openxmlformats.org/officeDocument/2006/relationships/hyperlink" Target="mailto:aniliuche@gmr.com.br" TargetMode="External"/><Relationship Id="rId55" Type="http://schemas.openxmlformats.org/officeDocument/2006/relationships/hyperlink" Target="mailto:jonatas@gmr.com.br" TargetMode="External"/><Relationship Id="rId76" Type="http://schemas.openxmlformats.org/officeDocument/2006/relationships/printerSettings" Target="../printerSettings/printerSettings4.bin"/><Relationship Id="rId7" Type="http://schemas.openxmlformats.org/officeDocument/2006/relationships/hyperlink" Target="https://api.whatsapp.com/send?phone=552138655831" TargetMode="External"/><Relationship Id="rId71" Type="http://schemas.openxmlformats.org/officeDocument/2006/relationships/hyperlink" Target="mailto:alessandra.silva@gmr.com.br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mailto:magno.es@gmr.com.br" TargetMode="External"/><Relationship Id="rId18" Type="http://schemas.openxmlformats.org/officeDocument/2006/relationships/hyperlink" Target="mailto:nathalia.rodrigues@gmr.com.br" TargetMode="External"/><Relationship Id="rId26" Type="http://schemas.openxmlformats.org/officeDocument/2006/relationships/hyperlink" Target="mailto:wendel.bastos@gmr.com.br" TargetMode="External"/><Relationship Id="rId3" Type="http://schemas.openxmlformats.org/officeDocument/2006/relationships/hyperlink" Target="mailto:comercial.es@gmr.com.br" TargetMode="External"/><Relationship Id="rId21" Type="http://schemas.openxmlformats.org/officeDocument/2006/relationships/hyperlink" Target="mailto:AQ!SW@DE#FR$" TargetMode="External"/><Relationship Id="rId7" Type="http://schemas.openxmlformats.org/officeDocument/2006/relationships/hyperlink" Target="mailto:leandra.silva@gmr.com.br" TargetMode="External"/><Relationship Id="rId12" Type="http://schemas.openxmlformats.org/officeDocument/2006/relationships/hyperlink" Target="mailto:luana.es@gmr.com.br" TargetMode="External"/><Relationship Id="rId17" Type="http://schemas.openxmlformats.org/officeDocument/2006/relationships/hyperlink" Target="mailto:andrezza.silva@gmr.com.br" TargetMode="External"/><Relationship Id="rId25" Type="http://schemas.openxmlformats.org/officeDocument/2006/relationships/hyperlink" Target="mailto:matheus.vasconcelos@gmr.com.br" TargetMode="External"/><Relationship Id="rId33" Type="http://schemas.openxmlformats.org/officeDocument/2006/relationships/table" Target="../tables/table3.xml"/><Relationship Id="rId2" Type="http://schemas.openxmlformats.org/officeDocument/2006/relationships/hyperlink" Target="mailto:dayse.epp@gmr.com.br" TargetMode="External"/><Relationship Id="rId16" Type="http://schemas.openxmlformats.org/officeDocument/2006/relationships/hyperlink" Target="mailto:jansen.es@gmr.com.br" TargetMode="External"/><Relationship Id="rId20" Type="http://schemas.openxmlformats.org/officeDocument/2006/relationships/hyperlink" Target="mailto:vagas@gmr.com.br" TargetMode="External"/><Relationship Id="rId29" Type="http://schemas.openxmlformats.org/officeDocument/2006/relationships/hyperlink" Target="mailto:manuela@gmr.com.br" TargetMode="External"/><Relationship Id="rId1" Type="http://schemas.openxmlformats.org/officeDocument/2006/relationships/hyperlink" Target="mailto:dayse.cristina@gmr.com.br" TargetMode="External"/><Relationship Id="rId6" Type="http://schemas.openxmlformats.org/officeDocument/2006/relationships/hyperlink" Target="mailto:financeiro@anadantasranch.com.br" TargetMode="External"/><Relationship Id="rId11" Type="http://schemas.openxmlformats.org/officeDocument/2006/relationships/hyperlink" Target="mailto:representante.macae@gmr.com.br" TargetMode="External"/><Relationship Id="rId24" Type="http://schemas.openxmlformats.org/officeDocument/2006/relationships/hyperlink" Target="mailto:william.ximenes@gmr.com.br" TargetMode="External"/><Relationship Id="rId32" Type="http://schemas.openxmlformats.org/officeDocument/2006/relationships/printerSettings" Target="../printerSettings/printerSettings10.bin"/><Relationship Id="rId5" Type="http://schemas.openxmlformats.org/officeDocument/2006/relationships/hyperlink" Target="mailto:fiscal.es@gmr.com.br" TargetMode="External"/><Relationship Id="rId15" Type="http://schemas.openxmlformats.org/officeDocument/2006/relationships/hyperlink" Target="mailto:as.es@gmr.com.br" TargetMode="External"/><Relationship Id="rId23" Type="http://schemas.openxmlformats.org/officeDocument/2006/relationships/hyperlink" Target="mailto:isabela.rezende@gmr.com.br" TargetMode="External"/><Relationship Id="rId28" Type="http://schemas.openxmlformats.org/officeDocument/2006/relationships/hyperlink" Target="mailto:lucas.leal@gmr.com.br" TargetMode="External"/><Relationship Id="rId10" Type="http://schemas.openxmlformats.org/officeDocument/2006/relationships/hyperlink" Target="mailto:sheila.maio.boleto@gmr.com.br" TargetMode="External"/><Relationship Id="rId19" Type="http://schemas.openxmlformats.org/officeDocument/2006/relationships/hyperlink" Target="mailto:fabiana.almeida@gmr.com.br" TargetMode="External"/><Relationship Id="rId31" Type="http://schemas.openxmlformats.org/officeDocument/2006/relationships/hyperlink" Target="mailto:Jonatas.dantas@gmr.com.br" TargetMode="External"/><Relationship Id="rId4" Type="http://schemas.openxmlformats.org/officeDocument/2006/relationships/hyperlink" Target="mailto:financeiro.es@gmr.com.br" TargetMode="External"/><Relationship Id="rId9" Type="http://schemas.openxmlformats.org/officeDocument/2006/relationships/hyperlink" Target="mailto:boleto@gmr.com.br" TargetMode="External"/><Relationship Id="rId14" Type="http://schemas.openxmlformats.org/officeDocument/2006/relationships/hyperlink" Target="mailto:julio.es@gmr.com.br" TargetMode="External"/><Relationship Id="rId22" Type="http://schemas.openxmlformats.org/officeDocument/2006/relationships/hyperlink" Target="mailto:alessandra.silva@gmr.com.br" TargetMode="External"/><Relationship Id="rId27" Type="http://schemas.openxmlformats.org/officeDocument/2006/relationships/hyperlink" Target="mailto:sheila.maio@gmr.com.br" TargetMode="External"/><Relationship Id="rId30" Type="http://schemas.openxmlformats.org/officeDocument/2006/relationships/hyperlink" Target="mailto:luciana@gmr.com.br" TargetMode="External"/><Relationship Id="rId8" Type="http://schemas.openxmlformats.org/officeDocument/2006/relationships/hyperlink" Target="mailto:depto.vendas@gmr.com.br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file:///\\SERVIDOR01\Deak\Instalador_Vs02.00\INSTALADOR\setup.exe" TargetMode="External"/><Relationship Id="rId7" Type="http://schemas.openxmlformats.org/officeDocument/2006/relationships/hyperlink" Target="file:///\\SERVIDOR01\Deak\Instalador_Vs02.00\XP" TargetMode="External"/><Relationship Id="rId2" Type="http://schemas.openxmlformats.org/officeDocument/2006/relationships/hyperlink" Target="file:///\\SERVIDOR01\Deak\SisMenu.exe" TargetMode="External"/><Relationship Id="rId1" Type="http://schemas.openxmlformats.org/officeDocument/2006/relationships/hyperlink" Target="file:///\\DC01\FERRAMENTAS\HOST" TargetMode="External"/><Relationship Id="rId6" Type="http://schemas.openxmlformats.org/officeDocument/2006/relationships/hyperlink" Target="file:///\\SERVIDOR01\Deak\Instalador_Vs02.00\AtualizaDeak.bat" TargetMode="External"/><Relationship Id="rId5" Type="http://schemas.openxmlformats.org/officeDocument/2006/relationships/hyperlink" Target="file:///\\SERVIDOR01\Deak\Instalador_Vs02.00\Corre&#231;&#227;o%20da%20fm20.dll%20(Combos%20do%20sistema)\frm20past.exe" TargetMode="External"/><Relationship Id="rId4" Type="http://schemas.openxmlformats.org/officeDocument/2006/relationships/hyperlink" Target="file:///\\SERVIDOR01\Deak\Instalador_Vs02.00\Registra_Ocx.ba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>
    <tabColor theme="3"/>
    <pageSetUpPr fitToPage="1"/>
  </sheetPr>
  <dimension ref="A1:AH150"/>
  <sheetViews>
    <sheetView tabSelected="1" topLeftCell="X1" zoomScale="75" zoomScaleNormal="75" workbookViewId="0">
      <selection activeCell="O77" sqref="O77"/>
    </sheetView>
  </sheetViews>
  <sheetFormatPr defaultColWidth="9.140625" defaultRowHeight="15" outlineLevelCol="1" x14ac:dyDescent="0.25"/>
  <cols>
    <col min="1" max="1" width="12.28515625" customWidth="1" outlineLevel="1"/>
    <col min="2" max="2" width="13.7109375" customWidth="1" outlineLevel="1"/>
    <col min="3" max="3" width="9.85546875" customWidth="1" outlineLevel="1"/>
    <col min="4" max="4" width="17.42578125" customWidth="1" outlineLevel="1"/>
    <col min="5" max="5" width="55.42578125" style="45" customWidth="1" outlineLevel="1"/>
    <col min="6" max="6" width="18.42578125" customWidth="1" outlineLevel="1"/>
    <col min="7" max="7" width="16" style="34" customWidth="1" outlineLevel="1"/>
    <col min="8" max="8" width="14.85546875" style="1" customWidth="1" outlineLevel="1"/>
    <col min="9" max="9" width="13.42578125" customWidth="1" outlineLevel="1"/>
    <col min="10" max="10" width="16.140625" customWidth="1" outlineLevel="1"/>
    <col min="11" max="11" width="38.28515625" style="45" customWidth="1" outlineLevel="1"/>
    <col min="12" max="12" width="21.85546875" customWidth="1" outlineLevel="1"/>
    <col min="13" max="13" width="38.28515625" customWidth="1" outlineLevel="1"/>
    <col min="14" max="14" width="13.85546875" customWidth="1" outlineLevel="1"/>
    <col min="15" max="15" width="18.85546875" bestFit="1" customWidth="1"/>
    <col min="16" max="17" width="17.7109375" bestFit="1" customWidth="1"/>
    <col min="18" max="18" width="16.85546875" bestFit="1" customWidth="1"/>
    <col min="19" max="19" width="11.140625" style="1" customWidth="1" outlineLevel="1"/>
    <col min="20" max="20" width="10.28515625" style="1" customWidth="1" outlineLevel="1"/>
    <col min="21" max="21" width="9.7109375" style="1" customWidth="1" outlineLevel="1"/>
    <col min="22" max="22" width="6.5703125" style="1" customWidth="1"/>
    <col min="23" max="23" width="20.7109375" style="35" bestFit="1" customWidth="1"/>
    <col min="24" max="24" width="18.28515625" bestFit="1" customWidth="1"/>
    <col min="25" max="25" width="12.140625" bestFit="1" customWidth="1"/>
    <col min="26" max="26" width="14" customWidth="1" outlineLevel="1"/>
    <col min="27" max="27" width="6.5703125" customWidth="1" outlineLevel="1"/>
    <col min="28" max="28" width="11.7109375" customWidth="1" outlineLevel="1"/>
    <col min="29" max="29" width="18.85546875" customWidth="1" outlineLevel="1"/>
    <col min="30" max="30" width="17.7109375" customWidth="1" outlineLevel="1"/>
    <col min="31" max="31" width="62.28515625" style="45" customWidth="1"/>
    <col min="32" max="32" width="36.7109375" style="1" customWidth="1"/>
    <col min="33" max="33" width="17.28515625" style="1" customWidth="1"/>
    <col min="34" max="34" width="17.28515625" style="13" customWidth="1"/>
  </cols>
  <sheetData>
    <row r="1" spans="1:34" x14ac:dyDescent="0.25">
      <c r="A1" s="448" t="s">
        <v>1714</v>
      </c>
      <c r="B1" s="448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  <c r="R1" s="448"/>
      <c r="S1" s="448"/>
      <c r="T1" s="448"/>
      <c r="U1" s="448"/>
      <c r="V1" s="448"/>
      <c r="W1" s="448"/>
      <c r="X1" s="448"/>
      <c r="Y1" s="448"/>
      <c r="Z1" s="448"/>
      <c r="AA1" s="448"/>
      <c r="AB1" s="448"/>
      <c r="AC1" s="448"/>
      <c r="AD1" s="448"/>
      <c r="AE1" s="448"/>
      <c r="AF1" s="448"/>
      <c r="AG1" s="344"/>
      <c r="AH1" s="345"/>
    </row>
    <row r="2" spans="1:34" x14ac:dyDescent="0.25">
      <c r="A2" s="36" t="s">
        <v>800</v>
      </c>
      <c r="B2" s="36" t="s">
        <v>799</v>
      </c>
      <c r="C2" s="36" t="s">
        <v>802</v>
      </c>
      <c r="D2" s="15" t="s">
        <v>2</v>
      </c>
      <c r="E2" s="36" t="s">
        <v>813</v>
      </c>
      <c r="F2" s="15" t="s">
        <v>7</v>
      </c>
      <c r="G2" s="36" t="s">
        <v>235</v>
      </c>
      <c r="H2" s="15" t="s">
        <v>86</v>
      </c>
      <c r="I2" s="36" t="s">
        <v>15</v>
      </c>
      <c r="J2" s="15" t="s">
        <v>6</v>
      </c>
      <c r="K2" s="36" t="s">
        <v>575</v>
      </c>
      <c r="L2" s="36" t="s">
        <v>369</v>
      </c>
      <c r="M2" s="36" t="s">
        <v>574</v>
      </c>
      <c r="N2" s="36" t="s">
        <v>333</v>
      </c>
      <c r="O2" s="36" t="s">
        <v>945</v>
      </c>
      <c r="P2" s="15" t="s">
        <v>907</v>
      </c>
      <c r="Q2" s="15" t="s">
        <v>3</v>
      </c>
      <c r="R2" s="15" t="s">
        <v>5</v>
      </c>
      <c r="S2" s="36" t="s">
        <v>835</v>
      </c>
      <c r="T2" s="36" t="s">
        <v>538</v>
      </c>
      <c r="U2" s="36" t="s">
        <v>968</v>
      </c>
      <c r="V2" s="36" t="s">
        <v>1416</v>
      </c>
      <c r="W2" s="15" t="s">
        <v>906</v>
      </c>
      <c r="X2" s="15" t="s">
        <v>13</v>
      </c>
      <c r="Y2" s="36" t="s">
        <v>514</v>
      </c>
      <c r="Z2" s="249" t="s">
        <v>514</v>
      </c>
      <c r="AA2" s="250" t="s">
        <v>1416</v>
      </c>
      <c r="AB2" s="249" t="s">
        <v>5</v>
      </c>
      <c r="AC2" s="250" t="s">
        <v>1545</v>
      </c>
      <c r="AD2" s="250" t="s">
        <v>1403</v>
      </c>
      <c r="AE2" s="15" t="s">
        <v>232</v>
      </c>
      <c r="AF2" s="335" t="s">
        <v>366</v>
      </c>
      <c r="AG2" s="15" t="s">
        <v>217</v>
      </c>
      <c r="AH2" s="346" t="s">
        <v>1619</v>
      </c>
    </row>
    <row r="3" spans="1:34" hidden="1" x14ac:dyDescent="0.25">
      <c r="A3" s="267"/>
      <c r="B3" s="267"/>
      <c r="C3" s="267"/>
      <c r="D3" s="268" t="s">
        <v>790</v>
      </c>
      <c r="E3" s="269"/>
      <c r="F3" s="268" t="s">
        <v>573</v>
      </c>
      <c r="G3" s="268" t="s">
        <v>573</v>
      </c>
      <c r="H3" s="268" t="s">
        <v>87</v>
      </c>
      <c r="I3" s="268">
        <v>2</v>
      </c>
      <c r="J3" s="268" t="s">
        <v>19</v>
      </c>
      <c r="K3" s="270" t="s">
        <v>792</v>
      </c>
      <c r="L3" s="109" t="s">
        <v>507</v>
      </c>
      <c r="M3" s="270" t="s">
        <v>650</v>
      </c>
      <c r="N3" s="270" t="s">
        <v>793</v>
      </c>
      <c r="O3" s="267"/>
      <c r="P3" s="267"/>
      <c r="Q3" s="268" t="s">
        <v>794</v>
      </c>
      <c r="R3" s="268" t="s">
        <v>753</v>
      </c>
      <c r="S3" s="267"/>
      <c r="T3" s="267"/>
      <c r="U3" s="267"/>
      <c r="V3" s="267"/>
      <c r="W3" s="271" t="s">
        <v>791</v>
      </c>
      <c r="X3" s="268" t="s">
        <v>791</v>
      </c>
      <c r="Y3" s="267"/>
      <c r="Z3" s="267"/>
      <c r="AA3" s="267"/>
      <c r="AB3" s="267"/>
      <c r="AC3" s="267"/>
      <c r="AD3" s="267"/>
      <c r="AE3" s="272" t="s">
        <v>1537</v>
      </c>
      <c r="AF3" s="336"/>
      <c r="AG3" s="347"/>
      <c r="AH3" s="347"/>
    </row>
    <row r="4" spans="1:34" hidden="1" x14ac:dyDescent="0.25">
      <c r="A4" s="273">
        <v>39731</v>
      </c>
      <c r="B4" s="273">
        <v>40827</v>
      </c>
      <c r="C4" s="274">
        <f ca="1">(YEAR(NOW())-YEAR(A4))</f>
        <v>16</v>
      </c>
      <c r="D4" s="109" t="s">
        <v>22</v>
      </c>
      <c r="E4" s="275" t="s">
        <v>824</v>
      </c>
      <c r="F4" s="109" t="s">
        <v>152</v>
      </c>
      <c r="G4" s="109" t="s">
        <v>991</v>
      </c>
      <c r="H4" s="109" t="s">
        <v>382</v>
      </c>
      <c r="I4" s="109">
        <v>2</v>
      </c>
      <c r="J4" s="109" t="s">
        <v>988</v>
      </c>
      <c r="K4" s="275" t="s">
        <v>992</v>
      </c>
      <c r="L4" s="109" t="s">
        <v>507</v>
      </c>
      <c r="M4" s="270" t="s">
        <v>640</v>
      </c>
      <c r="N4" s="270" t="s">
        <v>793</v>
      </c>
      <c r="O4" s="269"/>
      <c r="P4" s="267"/>
      <c r="Q4" s="109" t="s">
        <v>993</v>
      </c>
      <c r="R4" s="142" t="s">
        <v>753</v>
      </c>
      <c r="S4" s="269"/>
      <c r="T4" s="269"/>
      <c r="U4" s="269"/>
      <c r="V4" s="269"/>
      <c r="W4" s="271" t="s">
        <v>791</v>
      </c>
      <c r="X4" s="268" t="s">
        <v>791</v>
      </c>
      <c r="Y4" s="269"/>
      <c r="Z4" s="269"/>
      <c r="AA4" s="269"/>
      <c r="AB4" s="269"/>
      <c r="AC4" s="269"/>
      <c r="AD4" s="269"/>
      <c r="AE4" s="272" t="s">
        <v>1537</v>
      </c>
      <c r="AF4" s="337"/>
      <c r="AG4" s="277"/>
      <c r="AH4" s="277"/>
    </row>
    <row r="5" spans="1:34" hidden="1" x14ac:dyDescent="0.25">
      <c r="A5" s="273">
        <v>38789</v>
      </c>
      <c r="B5" s="273">
        <v>39885</v>
      </c>
      <c r="C5" s="276">
        <f ca="1">(YEAR(NOW())-YEAR(A5))</f>
        <v>18</v>
      </c>
      <c r="D5" s="109" t="s">
        <v>383</v>
      </c>
      <c r="E5" s="275"/>
      <c r="F5" s="109" t="s">
        <v>50</v>
      </c>
      <c r="G5" s="109" t="s">
        <v>254</v>
      </c>
      <c r="H5" s="109" t="s">
        <v>381</v>
      </c>
      <c r="I5" s="109">
        <v>2</v>
      </c>
      <c r="J5" s="109" t="s">
        <v>26</v>
      </c>
      <c r="K5" s="275" t="s">
        <v>788</v>
      </c>
      <c r="L5" s="109" t="s">
        <v>787</v>
      </c>
      <c r="M5" s="275" t="s">
        <v>664</v>
      </c>
      <c r="N5" s="277" t="s">
        <v>272</v>
      </c>
      <c r="O5" s="278" t="s">
        <v>1002</v>
      </c>
      <c r="P5" s="278" t="s">
        <v>1002</v>
      </c>
      <c r="Q5" s="109" t="s">
        <v>231</v>
      </c>
      <c r="R5" s="279">
        <v>192168254186</v>
      </c>
      <c r="S5" s="269"/>
      <c r="T5" s="269"/>
      <c r="U5" s="269"/>
      <c r="V5" s="269"/>
      <c r="W5" s="280" t="s">
        <v>1535</v>
      </c>
      <c r="X5" s="109" t="s">
        <v>1535</v>
      </c>
      <c r="Y5" s="269"/>
      <c r="Z5" s="269"/>
      <c r="AA5" s="269"/>
      <c r="AB5" s="269"/>
      <c r="AC5" s="269"/>
      <c r="AD5" s="269"/>
      <c r="AE5" s="272" t="s">
        <v>1536</v>
      </c>
      <c r="AF5" s="338" t="s">
        <v>1002</v>
      </c>
      <c r="AG5" s="278"/>
      <c r="AH5" s="278"/>
    </row>
    <row r="6" spans="1:34" hidden="1" x14ac:dyDescent="0.25">
      <c r="A6" s="273">
        <v>38794</v>
      </c>
      <c r="B6" s="273">
        <v>39890</v>
      </c>
      <c r="C6" s="276">
        <f t="shared" ref="C6:C14" ca="1" si="0">(YEAR(NOW())-YEAR(A6))</f>
        <v>18</v>
      </c>
      <c r="D6" s="109" t="s">
        <v>210</v>
      </c>
      <c r="E6" s="275"/>
      <c r="F6" s="109" t="s">
        <v>211</v>
      </c>
      <c r="G6" s="109" t="s">
        <v>257</v>
      </c>
      <c r="H6" s="109" t="s">
        <v>381</v>
      </c>
      <c r="I6" s="142">
        <v>1256</v>
      </c>
      <c r="J6" s="109" t="s">
        <v>26</v>
      </c>
      <c r="K6" s="275" t="s">
        <v>689</v>
      </c>
      <c r="L6" s="109" t="s">
        <v>507</v>
      </c>
      <c r="M6" s="275" t="s">
        <v>625</v>
      </c>
      <c r="N6" s="277" t="s">
        <v>272</v>
      </c>
      <c r="O6" s="269"/>
      <c r="P6" s="267"/>
      <c r="Q6" s="109" t="s">
        <v>688</v>
      </c>
      <c r="R6" s="279">
        <v>192168254123</v>
      </c>
      <c r="S6" s="269"/>
      <c r="T6" s="269"/>
      <c r="U6" s="281">
        <v>100</v>
      </c>
      <c r="V6" s="281"/>
      <c r="W6" s="280" t="s">
        <v>1535</v>
      </c>
      <c r="X6" s="109" t="s">
        <v>1535</v>
      </c>
      <c r="Y6" s="269"/>
      <c r="Z6" s="269"/>
      <c r="AA6" s="269"/>
      <c r="AB6" s="269"/>
      <c r="AC6" s="269"/>
      <c r="AD6" s="269"/>
      <c r="AE6" s="272" t="s">
        <v>1536</v>
      </c>
      <c r="AF6" s="337"/>
      <c r="AG6" s="277"/>
      <c r="AH6" s="277"/>
    </row>
    <row r="7" spans="1:34" hidden="1" x14ac:dyDescent="0.25">
      <c r="A7" s="273">
        <v>39277</v>
      </c>
      <c r="B7" s="273">
        <v>40373</v>
      </c>
      <c r="C7" s="276">
        <f t="shared" ca="1" si="0"/>
        <v>17</v>
      </c>
      <c r="D7" s="109" t="s">
        <v>145</v>
      </c>
      <c r="E7" s="275"/>
      <c r="F7" s="109" t="s">
        <v>149</v>
      </c>
      <c r="G7" s="109" t="s">
        <v>315</v>
      </c>
      <c r="H7" s="109" t="s">
        <v>382</v>
      </c>
      <c r="I7" s="109">
        <v>3</v>
      </c>
      <c r="J7" s="109" t="s">
        <v>26</v>
      </c>
      <c r="K7" s="275"/>
      <c r="L7" s="109" t="s">
        <v>787</v>
      </c>
      <c r="M7" s="275" t="s">
        <v>660</v>
      </c>
      <c r="N7" s="277" t="s">
        <v>272</v>
      </c>
      <c r="O7" s="269"/>
      <c r="P7" s="267"/>
      <c r="Q7" s="109" t="s">
        <v>807</v>
      </c>
      <c r="R7" s="279">
        <v>192168254151</v>
      </c>
      <c r="S7" s="269"/>
      <c r="T7" s="269"/>
      <c r="U7" s="281">
        <v>100</v>
      </c>
      <c r="V7" s="281"/>
      <c r="W7" s="280" t="s">
        <v>1535</v>
      </c>
      <c r="X7" s="109" t="s">
        <v>1535</v>
      </c>
      <c r="Y7" s="269"/>
      <c r="Z7" s="269"/>
      <c r="AA7" s="269"/>
      <c r="AB7" s="269"/>
      <c r="AC7" s="269"/>
      <c r="AD7" s="269"/>
      <c r="AE7" s="272" t="s">
        <v>1536</v>
      </c>
      <c r="AF7" s="337"/>
      <c r="AG7" s="277"/>
      <c r="AH7" s="277"/>
    </row>
    <row r="8" spans="1:34" hidden="1" x14ac:dyDescent="0.25">
      <c r="A8" s="273">
        <v>39731</v>
      </c>
      <c r="B8" s="273">
        <v>40827</v>
      </c>
      <c r="C8" s="276">
        <f t="shared" ca="1" si="0"/>
        <v>16</v>
      </c>
      <c r="D8" s="109" t="s">
        <v>22</v>
      </c>
      <c r="E8" s="275" t="s">
        <v>824</v>
      </c>
      <c r="F8" s="109" t="s">
        <v>99</v>
      </c>
      <c r="G8" s="109" t="s">
        <v>250</v>
      </c>
      <c r="H8" s="109" t="s">
        <v>382</v>
      </c>
      <c r="I8" s="109">
        <v>2</v>
      </c>
      <c r="J8" s="109" t="s">
        <v>26</v>
      </c>
      <c r="K8" s="275"/>
      <c r="L8" s="109" t="s">
        <v>507</v>
      </c>
      <c r="M8" s="275" t="s">
        <v>634</v>
      </c>
      <c r="N8" s="277" t="s">
        <v>271</v>
      </c>
      <c r="O8" s="269"/>
      <c r="P8" s="267"/>
      <c r="Q8" s="109" t="s">
        <v>28</v>
      </c>
      <c r="R8" s="279" t="s">
        <v>501</v>
      </c>
      <c r="S8" s="269"/>
      <c r="T8" s="269"/>
      <c r="U8" s="109">
        <v>1000</v>
      </c>
      <c r="V8" s="109"/>
      <c r="W8" s="280" t="s">
        <v>1535</v>
      </c>
      <c r="X8" s="109" t="s">
        <v>1535</v>
      </c>
      <c r="Y8" s="269"/>
      <c r="Z8" s="269"/>
      <c r="AA8" s="269"/>
      <c r="AB8" s="269"/>
      <c r="AC8" s="269"/>
      <c r="AD8" s="269"/>
      <c r="AE8" s="272" t="s">
        <v>1536</v>
      </c>
      <c r="AF8" s="337"/>
      <c r="AG8" s="277"/>
      <c r="AH8" s="277"/>
    </row>
    <row r="9" spans="1:34" hidden="1" x14ac:dyDescent="0.25">
      <c r="A9" s="273">
        <v>39535</v>
      </c>
      <c r="B9" s="273">
        <v>40997</v>
      </c>
      <c r="C9" s="276">
        <f t="shared" ca="1" si="0"/>
        <v>16</v>
      </c>
      <c r="D9" s="109" t="s">
        <v>22</v>
      </c>
      <c r="E9" s="275" t="s">
        <v>824</v>
      </c>
      <c r="F9" s="109" t="s">
        <v>153</v>
      </c>
      <c r="G9" s="109" t="s">
        <v>251</v>
      </c>
      <c r="H9" s="109" t="s">
        <v>87</v>
      </c>
      <c r="I9" s="109">
        <v>4</v>
      </c>
      <c r="J9" s="109" t="s">
        <v>988</v>
      </c>
      <c r="K9" s="275" t="s">
        <v>989</v>
      </c>
      <c r="L9" s="109" t="s">
        <v>507</v>
      </c>
      <c r="M9" s="275" t="s">
        <v>634</v>
      </c>
      <c r="N9" s="277" t="s">
        <v>272</v>
      </c>
      <c r="O9" s="267"/>
      <c r="P9" s="267"/>
      <c r="Q9" s="109" t="s">
        <v>987</v>
      </c>
      <c r="R9" s="279">
        <v>192168254214</v>
      </c>
      <c r="S9" s="269"/>
      <c r="T9" s="269"/>
      <c r="U9" s="109">
        <v>1000</v>
      </c>
      <c r="V9" s="109"/>
      <c r="W9" s="280" t="s">
        <v>1535</v>
      </c>
      <c r="X9" s="109" t="s">
        <v>1535</v>
      </c>
      <c r="Y9" s="269"/>
      <c r="Z9" s="269"/>
      <c r="AA9" s="269"/>
      <c r="AB9" s="269"/>
      <c r="AC9" s="269"/>
      <c r="AD9" s="269"/>
      <c r="AE9" s="272" t="s">
        <v>1536</v>
      </c>
      <c r="AF9" s="337"/>
      <c r="AG9" s="277"/>
      <c r="AH9" s="277"/>
    </row>
    <row r="10" spans="1:34" hidden="1" x14ac:dyDescent="0.25">
      <c r="A10" s="273">
        <v>40507</v>
      </c>
      <c r="B10" s="273">
        <v>41604</v>
      </c>
      <c r="C10" s="276">
        <f ca="1">(YEAR(NOW())-YEAR(A10))</f>
        <v>14</v>
      </c>
      <c r="D10" s="109" t="s">
        <v>63</v>
      </c>
      <c r="E10" s="275" t="s">
        <v>818</v>
      </c>
      <c r="F10" s="109" t="s">
        <v>97</v>
      </c>
      <c r="G10" s="109" t="s">
        <v>253</v>
      </c>
      <c r="H10" s="109" t="s">
        <v>381</v>
      </c>
      <c r="I10" s="109">
        <v>4</v>
      </c>
      <c r="J10" s="109" t="s">
        <v>19</v>
      </c>
      <c r="K10" s="275" t="s">
        <v>750</v>
      </c>
      <c r="L10" s="109" t="s">
        <v>507</v>
      </c>
      <c r="M10" s="275" t="s">
        <v>629</v>
      </c>
      <c r="N10" s="277" t="s">
        <v>272</v>
      </c>
      <c r="O10" s="269"/>
      <c r="P10" s="267"/>
      <c r="Q10" s="109" t="s">
        <v>226</v>
      </c>
      <c r="R10" s="279">
        <v>192168254131</v>
      </c>
      <c r="S10" s="269"/>
      <c r="T10" s="269"/>
      <c r="U10" s="109">
        <v>1000</v>
      </c>
      <c r="V10" s="109"/>
      <c r="W10" s="280" t="s">
        <v>1535</v>
      </c>
      <c r="X10" s="109" t="s">
        <v>1535</v>
      </c>
      <c r="Y10" s="269"/>
      <c r="Z10" s="269"/>
      <c r="AA10" s="269"/>
      <c r="AB10" s="269"/>
      <c r="AC10" s="269"/>
      <c r="AD10" s="269"/>
      <c r="AE10" s="272" t="s">
        <v>1536</v>
      </c>
      <c r="AF10" s="337"/>
      <c r="AG10" s="277"/>
      <c r="AH10" s="277"/>
    </row>
    <row r="11" spans="1:34" hidden="1" x14ac:dyDescent="0.25">
      <c r="A11" s="273">
        <v>40826</v>
      </c>
      <c r="B11" s="273">
        <v>41193</v>
      </c>
      <c r="C11" s="276">
        <f ca="1">(YEAR(NOW())-YEAR(A11))</f>
        <v>13</v>
      </c>
      <c r="D11" s="109" t="s">
        <v>801</v>
      </c>
      <c r="E11" s="275" t="s">
        <v>833</v>
      </c>
      <c r="F11" s="109" t="s">
        <v>160</v>
      </c>
      <c r="G11" s="109" t="s">
        <v>267</v>
      </c>
      <c r="H11" s="109" t="s">
        <v>381</v>
      </c>
      <c r="I11" s="109">
        <v>4</v>
      </c>
      <c r="J11" s="109" t="s">
        <v>19</v>
      </c>
      <c r="K11" s="275" t="s">
        <v>797</v>
      </c>
      <c r="L11" s="109" t="s">
        <v>507</v>
      </c>
      <c r="M11" s="275" t="s">
        <v>647</v>
      </c>
      <c r="N11" s="277" t="s">
        <v>272</v>
      </c>
      <c r="O11" s="269"/>
      <c r="P11" s="109" t="s">
        <v>939</v>
      </c>
      <c r="Q11" s="109" t="s">
        <v>972</v>
      </c>
      <c r="R11" s="142">
        <v>192168254187</v>
      </c>
      <c r="S11" s="109">
        <v>2</v>
      </c>
      <c r="T11" s="109">
        <v>17</v>
      </c>
      <c r="U11" s="281">
        <v>100</v>
      </c>
      <c r="V11" s="281"/>
      <c r="W11" s="280" t="s">
        <v>1535</v>
      </c>
      <c r="X11" s="109" t="s">
        <v>1535</v>
      </c>
      <c r="Y11" s="269"/>
      <c r="Z11" s="269"/>
      <c r="AA11" s="269"/>
      <c r="AB11" s="269"/>
      <c r="AC11" s="269"/>
      <c r="AD11" s="269"/>
      <c r="AE11" s="272" t="s">
        <v>1536</v>
      </c>
      <c r="AF11" s="337"/>
      <c r="AG11" s="277"/>
      <c r="AH11" s="277"/>
    </row>
    <row r="12" spans="1:34" hidden="1" x14ac:dyDescent="0.25">
      <c r="A12" s="289">
        <v>40507</v>
      </c>
      <c r="B12" s="289">
        <v>41604</v>
      </c>
      <c r="C12" s="290">
        <f ca="1">(YEAR(NOW())-YEAR(A12))</f>
        <v>14</v>
      </c>
      <c r="D12" s="292" t="s">
        <v>63</v>
      </c>
      <c r="E12" s="293" t="s">
        <v>818</v>
      </c>
      <c r="F12" s="292" t="s">
        <v>741</v>
      </c>
      <c r="G12" s="146" t="s">
        <v>743</v>
      </c>
      <c r="H12" s="285" t="s">
        <v>1541</v>
      </c>
      <c r="I12" s="292">
        <v>4</v>
      </c>
      <c r="J12" s="292" t="s">
        <v>19</v>
      </c>
      <c r="K12" s="293" t="s">
        <v>742</v>
      </c>
      <c r="L12" s="146" t="s">
        <v>507</v>
      </c>
      <c r="M12" s="284" t="s">
        <v>637</v>
      </c>
      <c r="N12" s="291" t="s">
        <v>272</v>
      </c>
      <c r="O12" s="294" t="s">
        <v>1002</v>
      </c>
      <c r="P12" s="294" t="s">
        <v>1002</v>
      </c>
      <c r="Q12" s="292" t="s">
        <v>1398</v>
      </c>
      <c r="R12" s="295">
        <v>192168254183</v>
      </c>
      <c r="S12" s="288"/>
      <c r="T12" s="288"/>
      <c r="U12" s="146">
        <v>1000</v>
      </c>
      <c r="V12" s="146"/>
      <c r="W12" s="285" t="s">
        <v>14</v>
      </c>
      <c r="X12" s="146" t="s">
        <v>14</v>
      </c>
      <c r="Y12" s="288"/>
      <c r="Z12" s="257"/>
      <c r="AA12" s="257"/>
      <c r="AB12" s="257"/>
      <c r="AC12" s="257"/>
      <c r="AD12" s="257"/>
      <c r="AE12" s="199"/>
      <c r="AF12" s="339"/>
      <c r="AG12" s="348"/>
      <c r="AH12" s="348"/>
    </row>
    <row r="13" spans="1:34" hidden="1" x14ac:dyDescent="0.25">
      <c r="A13" s="282">
        <v>41548</v>
      </c>
      <c r="B13" s="282">
        <v>41913</v>
      </c>
      <c r="C13" s="283">
        <f t="shared" ca="1" si="0"/>
        <v>11</v>
      </c>
      <c r="D13" s="146" t="s">
        <v>88</v>
      </c>
      <c r="E13" s="284" t="s">
        <v>831</v>
      </c>
      <c r="F13" s="146" t="s">
        <v>191</v>
      </c>
      <c r="G13" s="146" t="s">
        <v>513</v>
      </c>
      <c r="H13" s="285" t="s">
        <v>970</v>
      </c>
      <c r="I13" s="146">
        <v>4</v>
      </c>
      <c r="J13" s="146" t="s">
        <v>943</v>
      </c>
      <c r="K13" s="284" t="s">
        <v>752</v>
      </c>
      <c r="L13" s="146" t="s">
        <v>506</v>
      </c>
      <c r="M13" s="284" t="s">
        <v>606</v>
      </c>
      <c r="N13" s="146" t="s">
        <v>272</v>
      </c>
      <c r="O13" s="286"/>
      <c r="P13" s="286" t="s">
        <v>1722</v>
      </c>
      <c r="Q13" s="146" t="s">
        <v>969</v>
      </c>
      <c r="R13" s="287">
        <v>192168254106</v>
      </c>
      <c r="S13" s="288"/>
      <c r="T13" s="288"/>
      <c r="U13" s="146">
        <v>1000</v>
      </c>
      <c r="V13" s="146"/>
      <c r="W13" s="285" t="s">
        <v>14</v>
      </c>
      <c r="X13" s="146" t="s">
        <v>14</v>
      </c>
      <c r="Y13" s="288"/>
      <c r="Z13" s="257"/>
      <c r="AA13" s="257"/>
      <c r="AB13" s="257"/>
      <c r="AC13" s="257"/>
      <c r="AD13" s="257"/>
      <c r="AE13" s="199"/>
      <c r="AF13" s="339"/>
      <c r="AG13" s="348"/>
      <c r="AH13" s="348"/>
    </row>
    <row r="14" spans="1:34" hidden="1" x14ac:dyDescent="0.25">
      <c r="A14" s="289">
        <v>41024</v>
      </c>
      <c r="B14" s="289">
        <v>41390</v>
      </c>
      <c r="C14" s="290">
        <f t="shared" ca="1" si="0"/>
        <v>12</v>
      </c>
      <c r="D14" s="146" t="s">
        <v>104</v>
      </c>
      <c r="E14" s="284" t="s">
        <v>814</v>
      </c>
      <c r="F14" s="146" t="s">
        <v>177</v>
      </c>
      <c r="G14" s="146" t="s">
        <v>509</v>
      </c>
      <c r="H14" s="285" t="s">
        <v>713</v>
      </c>
      <c r="I14" s="146">
        <v>0</v>
      </c>
      <c r="J14" s="146" t="s">
        <v>11</v>
      </c>
      <c r="K14" s="284" t="s">
        <v>738</v>
      </c>
      <c r="L14" s="146" t="s">
        <v>502</v>
      </c>
      <c r="M14" s="284" t="s">
        <v>805</v>
      </c>
      <c r="N14" s="146" t="s">
        <v>272</v>
      </c>
      <c r="O14" s="286"/>
      <c r="P14" s="286"/>
      <c r="Q14" s="146" t="s">
        <v>1636</v>
      </c>
      <c r="R14" s="147">
        <v>192168254114</v>
      </c>
      <c r="S14" s="288"/>
      <c r="T14" s="288"/>
      <c r="U14" s="146">
        <v>1000</v>
      </c>
      <c r="V14" s="146"/>
      <c r="W14" s="285" t="s">
        <v>14</v>
      </c>
      <c r="X14" s="146" t="s">
        <v>14</v>
      </c>
      <c r="Y14" s="288"/>
      <c r="Z14" s="257"/>
      <c r="AA14" s="257"/>
      <c r="AB14" s="257"/>
      <c r="AC14" s="257"/>
      <c r="AD14" s="257"/>
      <c r="AE14" s="199"/>
      <c r="AF14" s="373" t="s">
        <v>1637</v>
      </c>
      <c r="AG14" s="348" t="s">
        <v>338</v>
      </c>
      <c r="AH14" s="348"/>
    </row>
    <row r="15" spans="1:34" hidden="1" x14ac:dyDescent="0.25">
      <c r="A15" s="289">
        <v>41452</v>
      </c>
      <c r="B15" s="289">
        <v>42549</v>
      </c>
      <c r="C15" s="283">
        <f ca="1">(YEAR(NOW())-YEAR(A15))</f>
        <v>11</v>
      </c>
      <c r="D15" s="146" t="s">
        <v>59</v>
      </c>
      <c r="E15" s="284" t="s">
        <v>816</v>
      </c>
      <c r="F15" s="146" t="s">
        <v>62</v>
      </c>
      <c r="G15" s="146" t="s">
        <v>255</v>
      </c>
      <c r="H15" s="285" t="s">
        <v>712</v>
      </c>
      <c r="I15" s="146">
        <v>4</v>
      </c>
      <c r="J15" s="146" t="s">
        <v>19</v>
      </c>
      <c r="K15" s="284" t="s">
        <v>749</v>
      </c>
      <c r="L15" s="146" t="s">
        <v>502</v>
      </c>
      <c r="M15" s="284" t="s">
        <v>617</v>
      </c>
      <c r="N15" s="291" t="s">
        <v>272</v>
      </c>
      <c r="O15" s="288"/>
      <c r="P15" s="286"/>
      <c r="Q15" s="146" t="s">
        <v>60</v>
      </c>
      <c r="R15" s="287">
        <v>192168254121</v>
      </c>
      <c r="S15" s="288"/>
      <c r="T15" s="288"/>
      <c r="U15" s="146">
        <v>1000</v>
      </c>
      <c r="V15" s="146"/>
      <c r="W15" s="285" t="s">
        <v>14</v>
      </c>
      <c r="X15" s="146" t="s">
        <v>14</v>
      </c>
      <c r="Y15" s="288"/>
      <c r="Z15" s="257"/>
      <c r="AA15" s="257"/>
      <c r="AB15" s="257"/>
      <c r="AC15" s="257"/>
      <c r="AD15" s="257"/>
      <c r="AE15" s="199"/>
      <c r="AF15" s="339"/>
      <c r="AG15" s="348"/>
      <c r="AH15" s="348"/>
    </row>
    <row r="16" spans="1:34" hidden="1" x14ac:dyDescent="0.25">
      <c r="A16" s="289">
        <v>43560</v>
      </c>
      <c r="B16" s="289">
        <v>43926</v>
      </c>
      <c r="C16" s="290">
        <f ca="1">(YEAR(NOW())-YEAR(A16))</f>
        <v>5</v>
      </c>
      <c r="D16" s="292" t="s">
        <v>207</v>
      </c>
      <c r="E16" s="293" t="s">
        <v>817</v>
      </c>
      <c r="F16" s="292" t="s">
        <v>208</v>
      </c>
      <c r="G16" s="146" t="s">
        <v>756</v>
      </c>
      <c r="H16" s="285" t="s">
        <v>713</v>
      </c>
      <c r="I16" s="292">
        <v>8</v>
      </c>
      <c r="J16" s="292" t="s">
        <v>943</v>
      </c>
      <c r="K16" s="293" t="s">
        <v>671</v>
      </c>
      <c r="L16" s="146" t="s">
        <v>502</v>
      </c>
      <c r="M16" s="284" t="s">
        <v>616</v>
      </c>
      <c r="N16" s="146" t="s">
        <v>272</v>
      </c>
      <c r="O16" s="146">
        <v>3620</v>
      </c>
      <c r="P16" s="419" t="s">
        <v>931</v>
      </c>
      <c r="Q16" s="292" t="s">
        <v>158</v>
      </c>
      <c r="R16" s="295">
        <v>192168254176</v>
      </c>
      <c r="S16" s="146"/>
      <c r="T16" s="146"/>
      <c r="U16" s="292">
        <v>1000</v>
      </c>
      <c r="V16" s="292" t="s">
        <v>1133</v>
      </c>
      <c r="W16" s="302" t="s">
        <v>512</v>
      </c>
      <c r="X16" s="38" t="s">
        <v>93</v>
      </c>
      <c r="Y16" s="146">
        <v>5835</v>
      </c>
      <c r="Z16" s="251">
        <v>5835</v>
      </c>
      <c r="AA16" s="251" t="s">
        <v>1206</v>
      </c>
      <c r="AB16" s="251">
        <v>199</v>
      </c>
      <c r="AC16" s="251" t="s">
        <v>1509</v>
      </c>
      <c r="AD16" s="251"/>
      <c r="AE16" s="418" t="s">
        <v>234</v>
      </c>
      <c r="AF16" s="420"/>
      <c r="AG16" s="348" t="s">
        <v>338</v>
      </c>
      <c r="AH16" s="348"/>
    </row>
    <row r="17" spans="1:34" ht="6" hidden="1" customHeight="1" x14ac:dyDescent="0.25">
      <c r="A17" s="448"/>
      <c r="B17" s="448"/>
      <c r="C17" s="448"/>
      <c r="D17" s="448"/>
      <c r="E17" s="448"/>
      <c r="F17" s="448"/>
      <c r="G17" s="448"/>
      <c r="H17" s="448"/>
      <c r="I17" s="448"/>
      <c r="J17" s="448"/>
      <c r="K17" s="448"/>
      <c r="L17" s="448"/>
      <c r="M17" s="448"/>
      <c r="N17" s="448"/>
      <c r="O17" s="448"/>
      <c r="P17" s="448"/>
      <c r="Q17" s="448"/>
      <c r="R17" s="448"/>
      <c r="S17" s="448"/>
      <c r="T17" s="448"/>
      <c r="U17" s="448"/>
      <c r="V17" s="448"/>
      <c r="W17" s="448"/>
      <c r="X17" s="448"/>
      <c r="Y17" s="448"/>
      <c r="Z17" s="448"/>
      <c r="AA17" s="448"/>
      <c r="AB17" s="448"/>
      <c r="AC17" s="448"/>
      <c r="AD17" s="448"/>
      <c r="AE17" s="448"/>
      <c r="AF17" s="448"/>
      <c r="AG17" s="344"/>
      <c r="AH17" s="345"/>
    </row>
    <row r="18" spans="1:34" hidden="1" x14ac:dyDescent="0.25">
      <c r="A18" s="99">
        <v>39280</v>
      </c>
      <c r="B18" s="99">
        <v>40376</v>
      </c>
      <c r="C18" s="101">
        <f ca="1">(YEAR(NOW())-YEAR(A18))</f>
        <v>17</v>
      </c>
      <c r="D18" s="38" t="s">
        <v>384</v>
      </c>
      <c r="E18" s="74" t="s">
        <v>825</v>
      </c>
      <c r="F18" s="38" t="s">
        <v>539</v>
      </c>
      <c r="G18" s="38" t="s">
        <v>379</v>
      </c>
      <c r="H18" s="38" t="s">
        <v>540</v>
      </c>
      <c r="I18" s="38">
        <v>12</v>
      </c>
      <c r="J18" s="38" t="s">
        <v>496</v>
      </c>
      <c r="K18" s="82"/>
      <c r="L18" s="82"/>
      <c r="M18" s="82"/>
      <c r="N18" s="38" t="s">
        <v>543</v>
      </c>
      <c r="O18" s="82"/>
      <c r="P18" s="38" t="s">
        <v>941</v>
      </c>
      <c r="Q18" s="38" t="s">
        <v>240</v>
      </c>
      <c r="R18" s="84">
        <v>192168254200</v>
      </c>
      <c r="S18" s="38">
        <v>1</v>
      </c>
      <c r="T18" s="38">
        <v>48</v>
      </c>
      <c r="U18" s="38">
        <v>1000</v>
      </c>
      <c r="V18" s="38"/>
      <c r="W18" s="70" t="s">
        <v>377</v>
      </c>
      <c r="X18" s="38" t="s">
        <v>14</v>
      </c>
      <c r="Y18" s="82"/>
      <c r="Z18" s="257"/>
      <c r="AA18" s="257"/>
      <c r="AB18" s="257"/>
      <c r="AC18" s="257"/>
      <c r="AD18" s="257"/>
      <c r="AE18" s="85"/>
      <c r="AF18" s="340"/>
      <c r="AG18" s="86"/>
      <c r="AH18" s="86"/>
    </row>
    <row r="19" spans="1:34" hidden="1" x14ac:dyDescent="0.25">
      <c r="A19" s="99">
        <v>41718</v>
      </c>
      <c r="B19" s="99">
        <v>43545</v>
      </c>
      <c r="C19" s="101">
        <f ca="1">(YEAR(NOW())-YEAR(A19))</f>
        <v>10</v>
      </c>
      <c r="D19" s="38" t="s">
        <v>385</v>
      </c>
      <c r="E19" s="74" t="s">
        <v>826</v>
      </c>
      <c r="F19" s="38" t="s">
        <v>541</v>
      </c>
      <c r="G19" s="38" t="s">
        <v>380</v>
      </c>
      <c r="H19" s="38" t="s">
        <v>542</v>
      </c>
      <c r="I19" s="38">
        <v>32</v>
      </c>
      <c r="J19" s="38" t="s">
        <v>496</v>
      </c>
      <c r="K19" s="82"/>
      <c r="L19" s="82"/>
      <c r="M19" s="82"/>
      <c r="N19" s="38" t="s">
        <v>543</v>
      </c>
      <c r="O19" s="82"/>
      <c r="P19" s="38" t="s">
        <v>941</v>
      </c>
      <c r="Q19" s="38" t="s">
        <v>241</v>
      </c>
      <c r="R19" s="84">
        <v>192168254201</v>
      </c>
      <c r="S19" s="38">
        <v>1</v>
      </c>
      <c r="T19" s="38">
        <v>46</v>
      </c>
      <c r="U19" s="38">
        <v>1000</v>
      </c>
      <c r="V19" s="38"/>
      <c r="W19" s="70" t="s">
        <v>377</v>
      </c>
      <c r="X19" s="38" t="s">
        <v>14</v>
      </c>
      <c r="Y19" s="82"/>
      <c r="Z19" s="257"/>
      <c r="AA19" s="257"/>
      <c r="AB19" s="257"/>
      <c r="AC19" s="257"/>
      <c r="AD19" s="257"/>
      <c r="AE19" s="85"/>
      <c r="AF19" s="340"/>
      <c r="AG19" s="86"/>
      <c r="AH19" s="86"/>
    </row>
    <row r="20" spans="1:34" hidden="1" x14ac:dyDescent="0.25">
      <c r="A20" s="100"/>
      <c r="B20" s="100"/>
      <c r="C20" s="87">
        <f ca="1">(YEAR(NOW())-2009)</f>
        <v>15</v>
      </c>
      <c r="D20" s="38" t="s">
        <v>376</v>
      </c>
      <c r="E20" s="74" t="s">
        <v>827</v>
      </c>
      <c r="F20" s="38" t="s">
        <v>544</v>
      </c>
      <c r="G20" s="38" t="s">
        <v>378</v>
      </c>
      <c r="H20" s="70" t="s">
        <v>716</v>
      </c>
      <c r="I20" s="38">
        <v>8</v>
      </c>
      <c r="J20" s="38" t="s">
        <v>19</v>
      </c>
      <c r="K20" s="38" t="s">
        <v>573</v>
      </c>
      <c r="L20" s="38" t="s">
        <v>507</v>
      </c>
      <c r="M20" s="38" t="s">
        <v>637</v>
      </c>
      <c r="N20" s="38" t="s">
        <v>543</v>
      </c>
      <c r="O20" s="82"/>
      <c r="P20" s="38" t="s">
        <v>941</v>
      </c>
      <c r="Q20" s="38" t="s">
        <v>545</v>
      </c>
      <c r="R20" s="84">
        <v>192168254170</v>
      </c>
      <c r="S20" s="38">
        <v>2</v>
      </c>
      <c r="T20" s="38">
        <v>23</v>
      </c>
      <c r="U20" s="38">
        <v>1000</v>
      </c>
      <c r="V20" s="38"/>
      <c r="W20" s="70" t="s">
        <v>377</v>
      </c>
      <c r="X20" s="38" t="s">
        <v>14</v>
      </c>
      <c r="Y20" s="82"/>
      <c r="Z20" s="257"/>
      <c r="AA20" s="257"/>
      <c r="AB20" s="257"/>
      <c r="AC20" s="257"/>
      <c r="AD20" s="257"/>
      <c r="AE20" s="85"/>
      <c r="AF20" s="340"/>
      <c r="AG20" s="333"/>
      <c r="AH20" s="333"/>
    </row>
    <row r="21" spans="1:34" hidden="1" x14ac:dyDescent="0.25">
      <c r="A21" s="99">
        <v>41024</v>
      </c>
      <c r="B21" s="99">
        <v>41390</v>
      </c>
      <c r="C21" s="103">
        <f ca="1">(YEAR(NOW())-YEAR(A21))</f>
        <v>12</v>
      </c>
      <c r="D21" s="38" t="s">
        <v>104</v>
      </c>
      <c r="E21" s="74" t="s">
        <v>814</v>
      </c>
      <c r="F21" s="38" t="s">
        <v>107</v>
      </c>
      <c r="G21" s="38" t="s">
        <v>269</v>
      </c>
      <c r="H21" s="70" t="s">
        <v>1251</v>
      </c>
      <c r="I21" s="38">
        <v>8</v>
      </c>
      <c r="J21" s="38" t="s">
        <v>943</v>
      </c>
      <c r="K21" s="74" t="s">
        <v>1340</v>
      </c>
      <c r="L21" s="75" t="s">
        <v>506</v>
      </c>
      <c r="M21" s="77" t="s">
        <v>612</v>
      </c>
      <c r="N21" s="86" t="s">
        <v>272</v>
      </c>
      <c r="O21" s="82"/>
      <c r="P21" s="82"/>
      <c r="Q21" s="38" t="s">
        <v>1339</v>
      </c>
      <c r="R21" s="80">
        <v>192168254190</v>
      </c>
      <c r="S21" s="80"/>
      <c r="T21" s="80"/>
      <c r="U21" s="38">
        <v>1000</v>
      </c>
      <c r="V21" s="38"/>
      <c r="W21" s="70" t="s">
        <v>14</v>
      </c>
      <c r="X21" s="38" t="s">
        <v>14</v>
      </c>
      <c r="Y21" s="82"/>
      <c r="Z21" s="257"/>
      <c r="AA21" s="257"/>
      <c r="AB21" s="257"/>
      <c r="AC21" s="257"/>
      <c r="AD21" s="257"/>
      <c r="AE21" s="85"/>
      <c r="AF21" s="362" t="s">
        <v>1631</v>
      </c>
      <c r="AG21" s="333" t="s">
        <v>338</v>
      </c>
      <c r="AH21" s="333"/>
    </row>
    <row r="22" spans="1:34" hidden="1" x14ac:dyDescent="0.25">
      <c r="A22" s="100"/>
      <c r="B22" s="100"/>
      <c r="C22" s="102"/>
      <c r="D22" s="38" t="s">
        <v>571</v>
      </c>
      <c r="E22" s="82"/>
      <c r="F22" s="38" t="s">
        <v>572</v>
      </c>
      <c r="G22" s="38" t="s">
        <v>568</v>
      </c>
      <c r="H22" s="82"/>
      <c r="I22" s="82"/>
      <c r="J22" s="38" t="s">
        <v>943</v>
      </c>
      <c r="K22" s="82"/>
      <c r="L22" s="82"/>
      <c r="M22" s="82"/>
      <c r="N22" s="82"/>
      <c r="O22" s="82"/>
      <c r="P22" s="82"/>
      <c r="Q22" s="38" t="s">
        <v>51</v>
      </c>
      <c r="R22" s="83">
        <v>192168254239</v>
      </c>
      <c r="S22" s="83">
        <v>1</v>
      </c>
      <c r="T22" s="83">
        <v>47</v>
      </c>
      <c r="U22" s="38">
        <v>1000</v>
      </c>
      <c r="V22" s="38"/>
      <c r="W22" s="70" t="s">
        <v>52</v>
      </c>
      <c r="X22" s="38" t="s">
        <v>14</v>
      </c>
      <c r="Y22" s="38">
        <v>5884</v>
      </c>
      <c r="Z22" s="251">
        <v>5884</v>
      </c>
      <c r="AA22" s="251"/>
      <c r="AB22" s="253">
        <v>125</v>
      </c>
      <c r="AC22" s="253" t="s">
        <v>1427</v>
      </c>
      <c r="AD22" s="253" t="s">
        <v>1426</v>
      </c>
      <c r="AE22" s="183" t="s">
        <v>365</v>
      </c>
      <c r="AF22" s="362" t="s">
        <v>1632</v>
      </c>
      <c r="AG22" s="333" t="s">
        <v>338</v>
      </c>
      <c r="AH22" s="333">
        <f ca="1">TODAY()</f>
        <v>45518</v>
      </c>
    </row>
    <row r="23" spans="1:34" hidden="1" x14ac:dyDescent="0.25">
      <c r="A23" s="99">
        <v>44271</v>
      </c>
      <c r="B23" s="99">
        <v>45368</v>
      </c>
      <c r="C23" s="101">
        <f t="shared" ref="C23:C37" ca="1" si="1">(YEAR(NOW())-YEAR(A23))</f>
        <v>3</v>
      </c>
      <c r="D23" s="38" t="s">
        <v>346</v>
      </c>
      <c r="E23" s="74" t="s">
        <v>830</v>
      </c>
      <c r="F23" s="38" t="s">
        <v>373</v>
      </c>
      <c r="G23" s="38" t="s">
        <v>372</v>
      </c>
      <c r="H23" s="70" t="s">
        <v>717</v>
      </c>
      <c r="I23" s="38">
        <v>8</v>
      </c>
      <c r="J23" s="38" t="s">
        <v>943</v>
      </c>
      <c r="K23" s="74" t="s">
        <v>672</v>
      </c>
      <c r="L23" s="38" t="s">
        <v>530</v>
      </c>
      <c r="M23" s="74" t="s">
        <v>733</v>
      </c>
      <c r="N23" s="38" t="s">
        <v>272</v>
      </c>
      <c r="O23" s="82"/>
      <c r="P23" s="38" t="s">
        <v>941</v>
      </c>
      <c r="Q23" s="38" t="s">
        <v>224</v>
      </c>
      <c r="R23" s="80">
        <v>192168254110</v>
      </c>
      <c r="S23" s="80">
        <v>1</v>
      </c>
      <c r="T23" s="80">
        <v>4</v>
      </c>
      <c r="U23" s="38">
        <v>1000</v>
      </c>
      <c r="V23" s="38"/>
      <c r="W23" s="70" t="s">
        <v>567</v>
      </c>
      <c r="X23" s="38" t="s">
        <v>14</v>
      </c>
      <c r="Y23" s="38">
        <v>5886</v>
      </c>
      <c r="Z23" s="251">
        <v>5886</v>
      </c>
      <c r="AA23" s="251"/>
      <c r="AB23" s="253">
        <v>125</v>
      </c>
      <c r="AC23" s="253" t="s">
        <v>1549</v>
      </c>
      <c r="AD23" s="257"/>
      <c r="AE23" s="183" t="s">
        <v>365</v>
      </c>
      <c r="AF23" s="100"/>
      <c r="AG23" s="156" t="s">
        <v>338</v>
      </c>
      <c r="AH23" s="333">
        <f ca="1">TODAY()</f>
        <v>45518</v>
      </c>
    </row>
    <row r="24" spans="1:34" hidden="1" x14ac:dyDescent="0.25">
      <c r="A24" s="351">
        <v>44271</v>
      </c>
      <c r="B24" s="351">
        <v>45368</v>
      </c>
      <c r="C24" s="352">
        <f t="shared" ref="C24" ca="1" si="2">(YEAR(NOW())-YEAR(A24))</f>
        <v>3</v>
      </c>
      <c r="D24" s="251" t="s">
        <v>346</v>
      </c>
      <c r="E24" s="353" t="s">
        <v>830</v>
      </c>
      <c r="F24" s="251" t="s">
        <v>347</v>
      </c>
      <c r="G24" s="251" t="s">
        <v>348</v>
      </c>
      <c r="H24" s="354" t="s">
        <v>717</v>
      </c>
      <c r="I24" s="251">
        <v>8</v>
      </c>
      <c r="J24" s="251" t="s">
        <v>943</v>
      </c>
      <c r="K24" s="353" t="s">
        <v>576</v>
      </c>
      <c r="L24" s="251" t="s">
        <v>530</v>
      </c>
      <c r="M24" s="353" t="s">
        <v>731</v>
      </c>
      <c r="N24" s="251" t="s">
        <v>272</v>
      </c>
      <c r="O24" s="257"/>
      <c r="P24" s="251" t="s">
        <v>942</v>
      </c>
      <c r="Q24" s="251" t="s">
        <v>722</v>
      </c>
      <c r="R24" s="357">
        <v>192168254240</v>
      </c>
      <c r="S24" s="357">
        <v>1</v>
      </c>
      <c r="T24" s="357">
        <v>44</v>
      </c>
      <c r="U24" s="251">
        <v>1000</v>
      </c>
      <c r="V24" s="251"/>
      <c r="W24" s="354" t="s">
        <v>349</v>
      </c>
      <c r="X24" s="251" t="s">
        <v>14</v>
      </c>
      <c r="Y24" s="251">
        <v>5842</v>
      </c>
      <c r="Z24" s="251">
        <v>5842</v>
      </c>
      <c r="AA24" s="251"/>
      <c r="AB24" s="251" t="s">
        <v>536</v>
      </c>
      <c r="AC24" s="251" t="s">
        <v>1554</v>
      </c>
      <c r="AD24" s="257"/>
      <c r="AE24" s="360" t="s">
        <v>350</v>
      </c>
      <c r="AF24" s="361"/>
      <c r="AG24" s="251" t="s">
        <v>1626</v>
      </c>
      <c r="AH24" s="350"/>
    </row>
    <row r="25" spans="1:34" hidden="1" x14ac:dyDescent="0.25">
      <c r="A25" s="99">
        <v>44271</v>
      </c>
      <c r="B25" s="99">
        <v>45368</v>
      </c>
      <c r="C25" s="101">
        <f t="shared" ca="1" si="1"/>
        <v>3</v>
      </c>
      <c r="D25" s="38" t="s">
        <v>346</v>
      </c>
      <c r="E25" s="74" t="s">
        <v>830</v>
      </c>
      <c r="F25" s="38" t="s">
        <v>347</v>
      </c>
      <c r="G25" s="38" t="s">
        <v>348</v>
      </c>
      <c r="H25" s="70" t="s">
        <v>717</v>
      </c>
      <c r="I25" s="38">
        <v>8</v>
      </c>
      <c r="J25" s="38" t="s">
        <v>943</v>
      </c>
      <c r="K25" s="74" t="s">
        <v>576</v>
      </c>
      <c r="L25" s="38" t="s">
        <v>530</v>
      </c>
      <c r="M25" s="74" t="s">
        <v>731</v>
      </c>
      <c r="N25" s="38" t="s">
        <v>272</v>
      </c>
      <c r="O25" s="82"/>
      <c r="P25" s="38" t="s">
        <v>942</v>
      </c>
      <c r="Q25" s="38" t="s">
        <v>722</v>
      </c>
      <c r="R25" s="80">
        <v>192168254240</v>
      </c>
      <c r="S25" s="80">
        <v>1</v>
      </c>
      <c r="T25" s="80">
        <v>44</v>
      </c>
      <c r="U25" s="38">
        <v>1000</v>
      </c>
      <c r="V25" s="38"/>
      <c r="W25" s="70" t="s">
        <v>1629</v>
      </c>
      <c r="X25" s="38" t="s">
        <v>14</v>
      </c>
      <c r="Y25" s="38">
        <v>5842</v>
      </c>
      <c r="Z25" s="251">
        <v>5842</v>
      </c>
      <c r="AA25" s="251"/>
      <c r="AB25" s="251" t="s">
        <v>536</v>
      </c>
      <c r="AC25" s="251" t="s">
        <v>1554</v>
      </c>
      <c r="AD25" s="257"/>
      <c r="AE25" s="183" t="s">
        <v>1630</v>
      </c>
      <c r="AF25" s="100"/>
      <c r="AG25" s="156" t="s">
        <v>1626</v>
      </c>
      <c r="AH25" s="333">
        <f ca="1">TODAY()</f>
        <v>45518</v>
      </c>
    </row>
    <row r="26" spans="1:34" hidden="1" x14ac:dyDescent="0.25">
      <c r="A26" s="445">
        <v>44271</v>
      </c>
      <c r="B26" s="445">
        <v>45368</v>
      </c>
      <c r="C26" s="152">
        <v>3</v>
      </c>
      <c r="D26" s="152" t="s">
        <v>346</v>
      </c>
      <c r="E26" s="152" t="s">
        <v>830</v>
      </c>
      <c r="F26" s="152" t="s">
        <v>347</v>
      </c>
      <c r="G26" s="446" t="s">
        <v>348</v>
      </c>
      <c r="H26" s="152" t="s">
        <v>717</v>
      </c>
      <c r="I26" s="152">
        <v>8</v>
      </c>
      <c r="J26" s="152" t="s">
        <v>943</v>
      </c>
      <c r="K26" s="444" t="s">
        <v>576</v>
      </c>
      <c r="L26" s="152" t="s">
        <v>530</v>
      </c>
      <c r="M26" s="152" t="s">
        <v>731</v>
      </c>
      <c r="N26" s="152" t="s">
        <v>272</v>
      </c>
      <c r="O26" s="152"/>
      <c r="P26" s="152" t="s">
        <v>942</v>
      </c>
      <c r="Q26" s="152" t="s">
        <v>722</v>
      </c>
      <c r="R26" s="447">
        <v>192168254240</v>
      </c>
      <c r="S26" s="152">
        <v>1</v>
      </c>
      <c r="T26" s="152">
        <v>44</v>
      </c>
      <c r="U26" s="152">
        <v>1000</v>
      </c>
      <c r="V26" s="152"/>
      <c r="W26" s="443" t="s">
        <v>1721</v>
      </c>
      <c r="X26" s="152" t="s">
        <v>14</v>
      </c>
      <c r="Y26" s="152">
        <v>5842</v>
      </c>
      <c r="Z26" s="152">
        <v>5842</v>
      </c>
      <c r="AA26" s="152"/>
      <c r="AB26" s="152" t="s">
        <v>536</v>
      </c>
      <c r="AC26" s="152" t="s">
        <v>1554</v>
      </c>
      <c r="AD26" s="152"/>
      <c r="AE26" s="152" t="s">
        <v>1705</v>
      </c>
      <c r="AF26" s="152"/>
      <c r="AG26" s="152" t="s">
        <v>338</v>
      </c>
      <c r="AH26" s="445">
        <v>45343</v>
      </c>
    </row>
    <row r="27" spans="1:34" hidden="1" x14ac:dyDescent="0.25">
      <c r="A27" s="351">
        <v>40507</v>
      </c>
      <c r="B27" s="351">
        <v>41604</v>
      </c>
      <c r="C27" s="352">
        <f ca="1">(YEAR(NOW())-YEAR(A27))</f>
        <v>14</v>
      </c>
      <c r="D27" s="251" t="s">
        <v>63</v>
      </c>
      <c r="E27" s="353" t="s">
        <v>818</v>
      </c>
      <c r="F27" s="251" t="s">
        <v>135</v>
      </c>
      <c r="G27" s="251" t="s">
        <v>266</v>
      </c>
      <c r="H27" s="354" t="s">
        <v>713</v>
      </c>
      <c r="I27" s="251">
        <v>4</v>
      </c>
      <c r="J27" s="251" t="s">
        <v>19</v>
      </c>
      <c r="K27" s="353" t="s">
        <v>744</v>
      </c>
      <c r="L27" s="254" t="s">
        <v>506</v>
      </c>
      <c r="M27" s="355" t="s">
        <v>605</v>
      </c>
      <c r="N27" s="356" t="s">
        <v>272</v>
      </c>
      <c r="O27" s="257"/>
      <c r="P27" s="356" t="s">
        <v>937</v>
      </c>
      <c r="Q27" s="251" t="s">
        <v>755</v>
      </c>
      <c r="R27" s="357">
        <v>192168254130</v>
      </c>
      <c r="S27" s="357">
        <v>2</v>
      </c>
      <c r="T27" s="357">
        <v>9</v>
      </c>
      <c r="U27" s="251">
        <v>1000</v>
      </c>
      <c r="V27" s="251"/>
      <c r="W27" s="354" t="s">
        <v>550</v>
      </c>
      <c r="X27" s="251" t="s">
        <v>77</v>
      </c>
      <c r="Y27" s="251">
        <v>5843</v>
      </c>
      <c r="Z27" s="251">
        <v>5843</v>
      </c>
      <c r="AA27" s="251"/>
      <c r="AB27" s="251" t="s">
        <v>536</v>
      </c>
      <c r="AC27" s="251" t="s">
        <v>1553</v>
      </c>
      <c r="AD27" s="257"/>
      <c r="AE27" s="358" t="s">
        <v>321</v>
      </c>
      <c r="AF27" s="359"/>
      <c r="AG27" s="356" t="s">
        <v>1626</v>
      </c>
      <c r="AH27" s="349"/>
    </row>
    <row r="28" spans="1:34" hidden="1" x14ac:dyDescent="0.25">
      <c r="A28" s="99">
        <v>40507</v>
      </c>
      <c r="B28" s="99">
        <v>41604</v>
      </c>
      <c r="C28" s="101">
        <f t="shared" ref="C28" ca="1" si="3">(YEAR(NOW())-YEAR(A28))</f>
        <v>14</v>
      </c>
      <c r="D28" s="38" t="s">
        <v>63</v>
      </c>
      <c r="E28" s="74" t="s">
        <v>818</v>
      </c>
      <c r="F28" s="38" t="s">
        <v>135</v>
      </c>
      <c r="G28" s="38" t="s">
        <v>266</v>
      </c>
      <c r="H28" s="70" t="s">
        <v>713</v>
      </c>
      <c r="I28" s="38">
        <v>4</v>
      </c>
      <c r="J28" s="38" t="s">
        <v>19</v>
      </c>
      <c r="K28" s="74" t="s">
        <v>744</v>
      </c>
      <c r="L28" s="75" t="s">
        <v>506</v>
      </c>
      <c r="M28" s="77" t="s">
        <v>605</v>
      </c>
      <c r="N28" s="86" t="s">
        <v>272</v>
      </c>
      <c r="O28" s="82"/>
      <c r="P28" s="86" t="s">
        <v>1627</v>
      </c>
      <c r="Q28" s="38" t="s">
        <v>755</v>
      </c>
      <c r="R28" s="80">
        <v>192168254130</v>
      </c>
      <c r="S28" s="80">
        <v>2</v>
      </c>
      <c r="T28" s="80">
        <v>9</v>
      </c>
      <c r="U28" s="38">
        <v>1000</v>
      </c>
      <c r="V28" s="38"/>
      <c r="W28" s="70" t="s">
        <v>1578</v>
      </c>
      <c r="X28" s="38" t="s">
        <v>77</v>
      </c>
      <c r="Y28" s="38">
        <v>5843</v>
      </c>
      <c r="Z28" s="251">
        <v>5843</v>
      </c>
      <c r="AA28" s="251"/>
      <c r="AB28" s="251" t="s">
        <v>536</v>
      </c>
      <c r="AC28" s="251" t="s">
        <v>1553</v>
      </c>
      <c r="AD28" s="257"/>
      <c r="AE28" s="186" t="s">
        <v>1628</v>
      </c>
      <c r="AF28" s="341"/>
      <c r="AG28" s="350" t="s">
        <v>338</v>
      </c>
      <c r="AH28" s="334">
        <v>44951</v>
      </c>
    </row>
    <row r="29" spans="1:34" hidden="1" x14ac:dyDescent="0.25">
      <c r="A29" s="247">
        <v>40507</v>
      </c>
      <c r="B29" s="247">
        <v>41604</v>
      </c>
      <c r="C29" s="248">
        <f ca="1">(YEAR(NOW())-YEAR(A29))</f>
        <v>14</v>
      </c>
      <c r="D29" s="38" t="s">
        <v>63</v>
      </c>
      <c r="E29" s="74" t="s">
        <v>818</v>
      </c>
      <c r="F29" s="38" t="s">
        <v>144</v>
      </c>
      <c r="G29" s="38" t="s">
        <v>306</v>
      </c>
      <c r="H29" s="38" t="s">
        <v>87</v>
      </c>
      <c r="I29" s="38">
        <v>6</v>
      </c>
      <c r="J29" s="38" t="s">
        <v>19</v>
      </c>
      <c r="K29" s="74" t="s">
        <v>742</v>
      </c>
      <c r="L29" s="38" t="s">
        <v>1059</v>
      </c>
      <c r="M29" s="74" t="s">
        <v>609</v>
      </c>
      <c r="N29" s="86" t="s">
        <v>272</v>
      </c>
      <c r="O29" s="38">
        <v>1234</v>
      </c>
      <c r="P29" s="38" t="s">
        <v>1751</v>
      </c>
      <c r="Q29" s="38" t="s">
        <v>1488</v>
      </c>
      <c r="R29" s="80" t="s">
        <v>126</v>
      </c>
      <c r="S29" s="80">
        <v>2</v>
      </c>
      <c r="T29" s="80">
        <v>17</v>
      </c>
      <c r="U29" s="38">
        <v>1000</v>
      </c>
      <c r="V29" s="38"/>
      <c r="W29" s="70" t="s">
        <v>1749</v>
      </c>
      <c r="X29" s="38" t="s">
        <v>164</v>
      </c>
      <c r="Y29" s="38">
        <v>5874</v>
      </c>
      <c r="Z29" s="251">
        <v>5874</v>
      </c>
      <c r="AA29" s="251"/>
      <c r="AB29" s="251" t="s">
        <v>536</v>
      </c>
      <c r="AC29" s="251" t="s">
        <v>1555</v>
      </c>
      <c r="AD29" s="257"/>
      <c r="AE29" s="442" t="s">
        <v>1750</v>
      </c>
      <c r="AF29" s="340"/>
      <c r="AG29" s="333" t="s">
        <v>338</v>
      </c>
      <c r="AH29" s="333">
        <f ca="1">TODAY()</f>
        <v>45518</v>
      </c>
    </row>
    <row r="30" spans="1:34" hidden="1" x14ac:dyDescent="0.25">
      <c r="A30" s="99">
        <v>41369</v>
      </c>
      <c r="B30" s="99">
        <v>42466</v>
      </c>
      <c r="C30" s="103">
        <f ca="1">(YEAR(NOW())-YEAR(A30))</f>
        <v>11</v>
      </c>
      <c r="D30" s="38" t="s">
        <v>59</v>
      </c>
      <c r="E30" s="74" t="s">
        <v>816</v>
      </c>
      <c r="F30" s="38" t="s">
        <v>180</v>
      </c>
      <c r="G30" s="38" t="s">
        <v>508</v>
      </c>
      <c r="H30" s="70" t="s">
        <v>712</v>
      </c>
      <c r="I30" s="38">
        <v>4</v>
      </c>
      <c r="J30" s="38" t="s">
        <v>943</v>
      </c>
      <c r="K30" s="74" t="s">
        <v>811</v>
      </c>
      <c r="L30" s="38" t="s">
        <v>578</v>
      </c>
      <c r="M30" s="74" t="s">
        <v>967</v>
      </c>
      <c r="N30" s="86" t="s">
        <v>272</v>
      </c>
      <c r="O30" s="38">
        <v>1243</v>
      </c>
      <c r="P30" s="86" t="s">
        <v>938</v>
      </c>
      <c r="Q30" s="38" t="s">
        <v>1361</v>
      </c>
      <c r="R30" s="80">
        <v>192168254128</v>
      </c>
      <c r="S30" s="38">
        <v>2</v>
      </c>
      <c r="T30" s="38">
        <v>15</v>
      </c>
      <c r="U30" s="38">
        <v>1000</v>
      </c>
      <c r="V30" s="38"/>
      <c r="W30" s="70" t="s">
        <v>973</v>
      </c>
      <c r="X30" s="38" t="s">
        <v>58</v>
      </c>
      <c r="Y30" s="38">
        <v>5809</v>
      </c>
      <c r="Z30" s="251">
        <v>5809</v>
      </c>
      <c r="AA30" s="251"/>
      <c r="AB30" s="251" t="s">
        <v>536</v>
      </c>
      <c r="AC30" s="251" t="s">
        <v>1558</v>
      </c>
      <c r="AD30" s="257"/>
      <c r="AE30" s="183" t="s">
        <v>335</v>
      </c>
      <c r="AF30" s="340"/>
      <c r="AG30" s="333" t="s">
        <v>338</v>
      </c>
      <c r="AH30" s="333">
        <v>44951</v>
      </c>
    </row>
    <row r="31" spans="1:34" hidden="1" x14ac:dyDescent="0.25">
      <c r="A31" s="99">
        <v>41452</v>
      </c>
      <c r="B31" s="99">
        <v>42549</v>
      </c>
      <c r="C31" s="103">
        <f ca="1">(YEAR(NOW())-YEAR(A31))</f>
        <v>11</v>
      </c>
      <c r="D31" s="38" t="s">
        <v>59</v>
      </c>
      <c r="E31" s="74" t="s">
        <v>816</v>
      </c>
      <c r="F31" s="38" t="s">
        <v>118</v>
      </c>
      <c r="G31" s="38" t="s">
        <v>270</v>
      </c>
      <c r="H31" s="70" t="s">
        <v>713</v>
      </c>
      <c r="I31" s="38">
        <v>4</v>
      </c>
      <c r="J31" s="38" t="s">
        <v>943</v>
      </c>
      <c r="K31" s="74" t="s">
        <v>974</v>
      </c>
      <c r="L31" s="75" t="s">
        <v>506</v>
      </c>
      <c r="M31" s="77" t="s">
        <v>610</v>
      </c>
      <c r="N31" s="86" t="s">
        <v>272</v>
      </c>
      <c r="O31" s="38">
        <v>1234</v>
      </c>
      <c r="P31" s="38" t="s">
        <v>939</v>
      </c>
      <c r="Q31" s="38" t="s">
        <v>1362</v>
      </c>
      <c r="R31" s="84" t="s">
        <v>117</v>
      </c>
      <c r="S31" s="38">
        <v>2</v>
      </c>
      <c r="T31" s="38">
        <v>18</v>
      </c>
      <c r="U31" s="38">
        <v>1000</v>
      </c>
      <c r="V31" s="38"/>
      <c r="W31" s="70" t="s">
        <v>163</v>
      </c>
      <c r="X31" s="38" t="s">
        <v>58</v>
      </c>
      <c r="Y31" s="38">
        <v>5844</v>
      </c>
      <c r="Z31" s="251">
        <v>5844</v>
      </c>
      <c r="AA31" s="251"/>
      <c r="AB31" s="251" t="s">
        <v>536</v>
      </c>
      <c r="AC31" s="251" t="s">
        <v>1559</v>
      </c>
      <c r="AD31" s="257"/>
      <c r="AE31" s="183" t="s">
        <v>354</v>
      </c>
      <c r="AF31" s="340"/>
      <c r="AG31" s="333" t="s">
        <v>338</v>
      </c>
      <c r="AH31" s="333">
        <v>44951</v>
      </c>
    </row>
    <row r="32" spans="1:34" hidden="1" x14ac:dyDescent="0.25">
      <c r="A32" s="99">
        <v>41988</v>
      </c>
      <c r="B32" s="99">
        <v>42354</v>
      </c>
      <c r="C32" s="101">
        <f t="shared" ca="1" si="1"/>
        <v>10</v>
      </c>
      <c r="D32" s="38" t="s">
        <v>75</v>
      </c>
      <c r="E32" s="74" t="s">
        <v>823</v>
      </c>
      <c r="F32" s="38" t="s">
        <v>157</v>
      </c>
      <c r="G32" s="38" t="s">
        <v>332</v>
      </c>
      <c r="H32" s="38" t="s">
        <v>381</v>
      </c>
      <c r="I32" s="38">
        <v>6</v>
      </c>
      <c r="J32" s="38" t="s">
        <v>19</v>
      </c>
      <c r="K32" s="74"/>
      <c r="L32" s="75" t="s">
        <v>506</v>
      </c>
      <c r="M32" s="77" t="s">
        <v>613</v>
      </c>
      <c r="N32" s="86" t="s">
        <v>272</v>
      </c>
      <c r="O32" s="38">
        <v>9351</v>
      </c>
      <c r="P32" s="86" t="s">
        <v>940</v>
      </c>
      <c r="Q32" s="38" t="s">
        <v>355</v>
      </c>
      <c r="R32" s="84">
        <v>192168254152</v>
      </c>
      <c r="S32" s="38">
        <v>1</v>
      </c>
      <c r="T32" s="38">
        <v>27</v>
      </c>
      <c r="U32" s="38">
        <v>1000</v>
      </c>
      <c r="V32" s="38"/>
      <c r="W32" s="70" t="s">
        <v>197</v>
      </c>
      <c r="X32" s="38" t="s">
        <v>23</v>
      </c>
      <c r="Y32" s="38">
        <v>5864</v>
      </c>
      <c r="Z32" s="251">
        <v>5864</v>
      </c>
      <c r="AA32" s="251"/>
      <c r="AB32" s="251" t="s">
        <v>536</v>
      </c>
      <c r="AC32" s="251" t="s">
        <v>1556</v>
      </c>
      <c r="AD32" s="257"/>
      <c r="AE32" s="183" t="s">
        <v>334</v>
      </c>
      <c r="AF32" s="340"/>
      <c r="AG32" s="333" t="s">
        <v>338</v>
      </c>
      <c r="AH32" s="333">
        <v>44951</v>
      </c>
    </row>
    <row r="33" spans="1:34" hidden="1" x14ac:dyDescent="0.25">
      <c r="A33" s="99">
        <v>40507</v>
      </c>
      <c r="B33" s="99">
        <v>41604</v>
      </c>
      <c r="C33" s="103">
        <f ca="1">(YEAR(NOW())-YEAR(A33))</f>
        <v>14</v>
      </c>
      <c r="D33" s="69" t="s">
        <v>63</v>
      </c>
      <c r="E33" s="71" t="s">
        <v>818</v>
      </c>
      <c r="F33" s="38" t="s">
        <v>141</v>
      </c>
      <c r="G33" s="38" t="s">
        <v>762</v>
      </c>
      <c r="H33" s="70" t="s">
        <v>713</v>
      </c>
      <c r="I33" s="38">
        <v>4</v>
      </c>
      <c r="J33" s="38" t="s">
        <v>19</v>
      </c>
      <c r="K33" s="74" t="s">
        <v>763</v>
      </c>
      <c r="L33" s="38" t="s">
        <v>507</v>
      </c>
      <c r="M33" s="74" t="s">
        <v>628</v>
      </c>
      <c r="N33" s="86" t="s">
        <v>272</v>
      </c>
      <c r="O33" s="38">
        <v>8681</v>
      </c>
      <c r="P33" s="38" t="s">
        <v>1350</v>
      </c>
      <c r="Q33" s="38" t="s">
        <v>1351</v>
      </c>
      <c r="R33" s="80">
        <v>192168254113</v>
      </c>
      <c r="S33" s="80">
        <v>2</v>
      </c>
      <c r="T33" s="80">
        <v>14</v>
      </c>
      <c r="U33" s="38">
        <v>1000</v>
      </c>
      <c r="V33" s="38"/>
      <c r="W33" s="70" t="s">
        <v>1349</v>
      </c>
      <c r="X33" s="38" t="s">
        <v>23</v>
      </c>
      <c r="Y33" s="38">
        <v>5864</v>
      </c>
      <c r="Z33" s="251">
        <v>5864</v>
      </c>
      <c r="AA33" s="251"/>
      <c r="AB33" s="251" t="s">
        <v>536</v>
      </c>
      <c r="AC33" s="251" t="s">
        <v>1556</v>
      </c>
      <c r="AD33" s="257"/>
      <c r="AE33" s="85"/>
      <c r="AF33" s="340"/>
      <c r="AG33" s="333" t="s">
        <v>338</v>
      </c>
      <c r="AH33" s="333"/>
    </row>
    <row r="34" spans="1:34" hidden="1" x14ac:dyDescent="0.25">
      <c r="A34" s="99">
        <v>41033</v>
      </c>
      <c r="B34" s="99">
        <v>41763</v>
      </c>
      <c r="C34" s="103">
        <f ca="1">(YEAR(NOW())-YEAR(A34))</f>
        <v>12</v>
      </c>
      <c r="D34" s="69" t="s">
        <v>63</v>
      </c>
      <c r="E34" s="71" t="s">
        <v>818</v>
      </c>
      <c r="F34" s="38" t="s">
        <v>1542</v>
      </c>
      <c r="G34" s="38" t="s">
        <v>1543</v>
      </c>
      <c r="H34" s="70" t="s">
        <v>713</v>
      </c>
      <c r="I34" s="38">
        <v>4</v>
      </c>
      <c r="J34" s="69" t="s">
        <v>19</v>
      </c>
      <c r="K34" s="71" t="s">
        <v>742</v>
      </c>
      <c r="L34" s="38" t="s">
        <v>507</v>
      </c>
      <c r="M34" s="74" t="s">
        <v>637</v>
      </c>
      <c r="N34" s="86" t="s">
        <v>272</v>
      </c>
      <c r="O34" s="100"/>
      <c r="P34" s="86" t="s">
        <v>939</v>
      </c>
      <c r="Q34" s="69" t="s">
        <v>1398</v>
      </c>
      <c r="R34" s="72">
        <v>192168254183</v>
      </c>
      <c r="S34" s="80">
        <v>1</v>
      </c>
      <c r="T34" s="80">
        <v>13</v>
      </c>
      <c r="U34" s="38">
        <v>1000</v>
      </c>
      <c r="V34" s="38"/>
      <c r="W34" s="70" t="s">
        <v>783</v>
      </c>
      <c r="X34" s="38" t="s">
        <v>73</v>
      </c>
      <c r="Y34" s="38">
        <v>5878</v>
      </c>
      <c r="Z34" s="251">
        <v>5878</v>
      </c>
      <c r="AA34" s="251"/>
      <c r="AB34" s="251" t="s">
        <v>536</v>
      </c>
      <c r="AC34" s="251" t="s">
        <v>1560</v>
      </c>
      <c r="AD34" s="257"/>
      <c r="AE34" s="85"/>
      <c r="AF34" s="340"/>
      <c r="AG34" s="333" t="s">
        <v>338</v>
      </c>
      <c r="AH34" s="333"/>
    </row>
    <row r="35" spans="1:34" hidden="1" x14ac:dyDescent="0.25">
      <c r="A35" s="99">
        <v>40507</v>
      </c>
      <c r="B35" s="99">
        <v>41604</v>
      </c>
      <c r="C35" s="103">
        <f ca="1">(YEAR(NOW())-YEAR(A35))</f>
        <v>14</v>
      </c>
      <c r="D35" s="38" t="s">
        <v>63</v>
      </c>
      <c r="E35" s="74" t="s">
        <v>818</v>
      </c>
      <c r="F35" s="38" t="s">
        <v>85</v>
      </c>
      <c r="G35" s="38" t="s">
        <v>265</v>
      </c>
      <c r="H35" s="38" t="s">
        <v>381</v>
      </c>
      <c r="I35" s="38">
        <v>4</v>
      </c>
      <c r="J35" s="38" t="s">
        <v>19</v>
      </c>
      <c r="K35" s="74" t="s">
        <v>759</v>
      </c>
      <c r="L35" s="38" t="s">
        <v>506</v>
      </c>
      <c r="M35" s="74" t="s">
        <v>609</v>
      </c>
      <c r="N35" s="86" t="s">
        <v>272</v>
      </c>
      <c r="O35" s="38">
        <v>1234</v>
      </c>
      <c r="P35" s="86" t="s">
        <v>939</v>
      </c>
      <c r="Q35" s="38" t="s">
        <v>971</v>
      </c>
      <c r="R35" s="80">
        <v>192168254208</v>
      </c>
      <c r="S35" s="38">
        <v>1</v>
      </c>
      <c r="T35" s="38">
        <v>25</v>
      </c>
      <c r="U35" s="38">
        <v>1000</v>
      </c>
      <c r="V35" s="38"/>
      <c r="W35" s="70" t="s">
        <v>1566</v>
      </c>
      <c r="X35" s="38" t="s">
        <v>56</v>
      </c>
      <c r="Y35" s="38">
        <v>5863</v>
      </c>
      <c r="Z35" s="251">
        <v>5863</v>
      </c>
      <c r="AA35" s="251"/>
      <c r="AB35" s="251" t="s">
        <v>536</v>
      </c>
      <c r="AC35" s="251" t="s">
        <v>1557</v>
      </c>
      <c r="AD35" s="257"/>
      <c r="AE35" s="187"/>
      <c r="AF35" s="340"/>
      <c r="AG35" s="333" t="s">
        <v>338</v>
      </c>
      <c r="AH35" s="333"/>
    </row>
    <row r="36" spans="1:34" hidden="1" x14ac:dyDescent="0.25">
      <c r="A36" s="99">
        <v>40507</v>
      </c>
      <c r="B36" s="99">
        <v>41604</v>
      </c>
      <c r="C36" s="101">
        <f t="shared" ref="C36" ca="1" si="4">(YEAR(NOW())-YEAR(A36))</f>
        <v>14</v>
      </c>
      <c r="D36" s="38" t="s">
        <v>63</v>
      </c>
      <c r="E36" s="74" t="s">
        <v>818</v>
      </c>
      <c r="F36" s="38" t="s">
        <v>135</v>
      </c>
      <c r="G36" s="38" t="s">
        <v>266</v>
      </c>
      <c r="H36" s="70" t="s">
        <v>713</v>
      </c>
      <c r="I36" s="38">
        <v>4</v>
      </c>
      <c r="J36" s="38" t="s">
        <v>19</v>
      </c>
      <c r="K36" s="74" t="s">
        <v>744</v>
      </c>
      <c r="L36" s="75" t="s">
        <v>506</v>
      </c>
      <c r="M36" s="77" t="s">
        <v>605</v>
      </c>
      <c r="N36" s="86" t="s">
        <v>272</v>
      </c>
      <c r="O36" s="82"/>
      <c r="P36" s="86" t="s">
        <v>939</v>
      </c>
      <c r="Q36" s="38" t="s">
        <v>1656</v>
      </c>
      <c r="R36" s="80">
        <v>192168254157</v>
      </c>
      <c r="S36" s="80">
        <v>1</v>
      </c>
      <c r="T36" s="80">
        <v>32</v>
      </c>
      <c r="U36" s="38">
        <v>100</v>
      </c>
      <c r="V36" s="38"/>
      <c r="W36" s="70" t="s">
        <v>761</v>
      </c>
      <c r="X36" s="38" t="s">
        <v>245</v>
      </c>
      <c r="Y36" s="38">
        <v>5866</v>
      </c>
      <c r="Z36" s="251">
        <v>5866</v>
      </c>
      <c r="AA36" s="251"/>
      <c r="AB36" s="251" t="s">
        <v>536</v>
      </c>
      <c r="AC36" s="251" t="s">
        <v>1561</v>
      </c>
      <c r="AD36" s="257"/>
      <c r="AE36" s="186"/>
      <c r="AF36" s="341"/>
      <c r="AG36" s="350" t="s">
        <v>338</v>
      </c>
      <c r="AH36" s="401"/>
    </row>
    <row r="37" spans="1:34" hidden="1" x14ac:dyDescent="0.25">
      <c r="A37" s="390">
        <v>40507</v>
      </c>
      <c r="B37" s="390">
        <v>41604</v>
      </c>
      <c r="C37" s="391">
        <f t="shared" ca="1" si="1"/>
        <v>14</v>
      </c>
      <c r="D37" s="392" t="s">
        <v>63</v>
      </c>
      <c r="E37" s="393" t="s">
        <v>818</v>
      </c>
      <c r="F37" s="392" t="s">
        <v>111</v>
      </c>
      <c r="G37" s="392" t="s">
        <v>532</v>
      </c>
      <c r="H37" s="392" t="s">
        <v>382</v>
      </c>
      <c r="I37" s="392">
        <v>6</v>
      </c>
      <c r="J37" s="392" t="s">
        <v>19</v>
      </c>
      <c r="K37" s="393"/>
      <c r="L37" s="392" t="s">
        <v>507</v>
      </c>
      <c r="M37" s="393" t="s">
        <v>623</v>
      </c>
      <c r="N37" s="394" t="s">
        <v>272</v>
      </c>
      <c r="O37" s="392"/>
      <c r="P37" s="394" t="s">
        <v>939</v>
      </c>
      <c r="Q37" s="392" t="s">
        <v>245</v>
      </c>
      <c r="R37" s="395">
        <v>192168254242</v>
      </c>
      <c r="S37" s="392">
        <v>1</v>
      </c>
      <c r="T37" s="392">
        <v>32</v>
      </c>
      <c r="U37" s="396">
        <v>100</v>
      </c>
      <c r="V37" s="396"/>
      <c r="W37" s="397" t="s">
        <v>761</v>
      </c>
      <c r="X37" s="392" t="s">
        <v>245</v>
      </c>
      <c r="Y37" s="392">
        <v>5866</v>
      </c>
      <c r="Z37" s="398">
        <v>5866</v>
      </c>
      <c r="AA37" s="398"/>
      <c r="AB37" s="398" t="s">
        <v>536</v>
      </c>
      <c r="AC37" s="398" t="s">
        <v>1561</v>
      </c>
      <c r="AD37" s="398"/>
      <c r="AE37" s="399"/>
      <c r="AF37" s="400"/>
      <c r="AG37" s="401" t="s">
        <v>1626</v>
      </c>
      <c r="AH37" s="401"/>
    </row>
    <row r="38" spans="1:34" hidden="1" x14ac:dyDescent="0.25">
      <c r="A38" s="99">
        <v>40507</v>
      </c>
      <c r="B38" s="99">
        <v>41604</v>
      </c>
      <c r="C38" s="103">
        <f ca="1">(YEAR(NOW())-YEAR(A38))</f>
        <v>14</v>
      </c>
      <c r="D38" s="69" t="s">
        <v>63</v>
      </c>
      <c r="E38" s="71" t="s">
        <v>818</v>
      </c>
      <c r="F38" s="38" t="s">
        <v>65</v>
      </c>
      <c r="G38" s="38" t="s">
        <v>256</v>
      </c>
      <c r="H38" s="70" t="s">
        <v>713</v>
      </c>
      <c r="I38" s="38">
        <v>4</v>
      </c>
      <c r="J38" s="38" t="s">
        <v>11</v>
      </c>
      <c r="K38" s="74" t="s">
        <v>742</v>
      </c>
      <c r="L38" s="38" t="s">
        <v>507</v>
      </c>
      <c r="M38" s="74" t="s">
        <v>742</v>
      </c>
      <c r="N38" s="86" t="s">
        <v>272</v>
      </c>
      <c r="O38" s="100"/>
      <c r="P38" s="86" t="s">
        <v>939</v>
      </c>
      <c r="Q38" s="38" t="s">
        <v>1353</v>
      </c>
      <c r="R38" s="80">
        <v>192168254162</v>
      </c>
      <c r="S38" s="38">
        <v>1</v>
      </c>
      <c r="T38" s="38">
        <v>11</v>
      </c>
      <c r="U38" s="38">
        <v>1000</v>
      </c>
      <c r="V38" s="38"/>
      <c r="W38" s="70" t="s">
        <v>758</v>
      </c>
      <c r="X38" s="38" t="s">
        <v>67</v>
      </c>
      <c r="Y38" s="38">
        <v>5874</v>
      </c>
      <c r="Z38" s="251">
        <v>5874</v>
      </c>
      <c r="AA38" s="251"/>
      <c r="AB38" s="251" t="s">
        <v>536</v>
      </c>
      <c r="AC38" s="251" t="s">
        <v>1546</v>
      </c>
      <c r="AD38" s="257"/>
      <c r="AE38" s="183" t="s">
        <v>409</v>
      </c>
      <c r="AF38" s="340"/>
      <c r="AG38" s="333" t="s">
        <v>338</v>
      </c>
      <c r="AH38" s="333">
        <v>44951</v>
      </c>
    </row>
    <row r="39" spans="1:34" hidden="1" x14ac:dyDescent="0.25">
      <c r="A39" s="99">
        <v>40507</v>
      </c>
      <c r="B39" s="99">
        <v>41604</v>
      </c>
      <c r="C39" s="103">
        <f ca="1">(YEAR(NOW())-YEAR(A39))</f>
        <v>14</v>
      </c>
      <c r="D39" s="69" t="s">
        <v>63</v>
      </c>
      <c r="E39" s="71" t="s">
        <v>818</v>
      </c>
      <c r="F39" s="38" t="s">
        <v>115</v>
      </c>
      <c r="G39" s="38" t="s">
        <v>784</v>
      </c>
      <c r="H39" s="70" t="s">
        <v>713</v>
      </c>
      <c r="I39" s="38">
        <v>4</v>
      </c>
      <c r="J39" s="38" t="s">
        <v>19</v>
      </c>
      <c r="K39" s="74" t="s">
        <v>785</v>
      </c>
      <c r="L39" s="38" t="s">
        <v>507</v>
      </c>
      <c r="M39" s="74" t="s">
        <v>644</v>
      </c>
      <c r="N39" s="86" t="s">
        <v>272</v>
      </c>
      <c r="O39" s="100"/>
      <c r="P39" s="86" t="s">
        <v>939</v>
      </c>
      <c r="Q39" s="38" t="s">
        <v>1352</v>
      </c>
      <c r="R39" s="80">
        <v>192168254189</v>
      </c>
      <c r="S39" s="38">
        <v>2</v>
      </c>
      <c r="T39" s="38">
        <v>6</v>
      </c>
      <c r="U39" s="38">
        <v>1000</v>
      </c>
      <c r="V39" s="38"/>
      <c r="W39" s="70" t="s">
        <v>500</v>
      </c>
      <c r="X39" s="38" t="s">
        <v>70</v>
      </c>
      <c r="Y39" s="38">
        <v>5873</v>
      </c>
      <c r="Z39" s="251">
        <v>5873</v>
      </c>
      <c r="AA39" s="251"/>
      <c r="AB39" s="251" t="s">
        <v>536</v>
      </c>
      <c r="AC39" s="251" t="s">
        <v>1547</v>
      </c>
      <c r="AD39" s="257"/>
      <c r="AE39" s="85"/>
      <c r="AF39" s="362" t="s">
        <v>1643</v>
      </c>
      <c r="AG39" s="333" t="s">
        <v>338</v>
      </c>
      <c r="AH39" s="333"/>
    </row>
    <row r="40" spans="1:34" hidden="1" x14ac:dyDescent="0.25">
      <c r="A40" s="448" t="s">
        <v>1</v>
      </c>
      <c r="B40" s="448"/>
      <c r="C40" s="448"/>
      <c r="D40" s="448"/>
      <c r="E40" s="448"/>
      <c r="F40" s="448"/>
      <c r="G40" s="448"/>
      <c r="H40" s="448"/>
      <c r="I40" s="448"/>
      <c r="J40" s="448"/>
      <c r="K40" s="448"/>
      <c r="L40" s="448"/>
      <c r="M40" s="448"/>
      <c r="N40" s="448"/>
      <c r="O40" s="448"/>
      <c r="P40" s="448"/>
      <c r="Q40" s="448"/>
      <c r="R40" s="448"/>
      <c r="S40" s="448"/>
      <c r="T40" s="448"/>
      <c r="U40" s="448"/>
      <c r="V40" s="448"/>
      <c r="W40" s="448"/>
      <c r="X40" s="448"/>
      <c r="Y40" s="448"/>
      <c r="Z40" s="448"/>
      <c r="AA40" s="448"/>
      <c r="AB40" s="448"/>
      <c r="AC40" s="448"/>
      <c r="AD40" s="448"/>
      <c r="AE40" s="448"/>
      <c r="AF40" s="448"/>
      <c r="AG40" s="344"/>
      <c r="AH40" s="345"/>
    </row>
    <row r="41" spans="1:34" hidden="1" x14ac:dyDescent="0.25">
      <c r="A41" s="15" t="s">
        <v>800</v>
      </c>
      <c r="B41" s="15" t="s">
        <v>799</v>
      </c>
      <c r="C41" s="15" t="s">
        <v>802</v>
      </c>
      <c r="D41" s="15" t="s">
        <v>2</v>
      </c>
      <c r="E41" s="36" t="s">
        <v>813</v>
      </c>
      <c r="F41" s="15" t="s">
        <v>7</v>
      </c>
      <c r="G41" s="36" t="s">
        <v>235</v>
      </c>
      <c r="H41" s="15" t="s">
        <v>86</v>
      </c>
      <c r="I41" s="36" t="s">
        <v>15</v>
      </c>
      <c r="J41" s="15" t="s">
        <v>6</v>
      </c>
      <c r="K41" s="36" t="s">
        <v>575</v>
      </c>
      <c r="L41" s="36" t="s">
        <v>368</v>
      </c>
      <c r="M41" s="36" t="s">
        <v>574</v>
      </c>
      <c r="N41" s="15" t="s">
        <v>333</v>
      </c>
      <c r="O41" s="36" t="s">
        <v>945</v>
      </c>
      <c r="P41" s="15" t="s">
        <v>907</v>
      </c>
      <c r="Q41" s="15" t="s">
        <v>3</v>
      </c>
      <c r="R41" s="15" t="s">
        <v>5</v>
      </c>
      <c r="S41" s="36" t="s">
        <v>835</v>
      </c>
      <c r="T41" s="36" t="s">
        <v>538</v>
      </c>
      <c r="U41" s="36" t="s">
        <v>968</v>
      </c>
      <c r="V41" s="15" t="s">
        <v>1416</v>
      </c>
      <c r="W41" s="15" t="s">
        <v>906</v>
      </c>
      <c r="X41" s="15" t="s">
        <v>13</v>
      </c>
      <c r="Y41" s="15" t="s">
        <v>514</v>
      </c>
      <c r="Z41" s="249" t="s">
        <v>514</v>
      </c>
      <c r="AA41" s="249" t="s">
        <v>1416</v>
      </c>
      <c r="AB41" s="249" t="s">
        <v>5</v>
      </c>
      <c r="AC41" s="249" t="s">
        <v>1545</v>
      </c>
      <c r="AD41" s="250" t="s">
        <v>1403</v>
      </c>
      <c r="AE41" s="15" t="s">
        <v>232</v>
      </c>
      <c r="AF41" s="335" t="s">
        <v>366</v>
      </c>
      <c r="AG41" s="15"/>
      <c r="AH41" s="346"/>
    </row>
    <row r="42" spans="1:34" hidden="1" x14ac:dyDescent="0.25">
      <c r="A42" s="99">
        <v>44804</v>
      </c>
      <c r="B42" s="99">
        <v>45901</v>
      </c>
      <c r="C42" s="103">
        <f ca="1">(YEAR(NOW())-YEAR(A42))</f>
        <v>2</v>
      </c>
      <c r="D42" s="38" t="s">
        <v>1219</v>
      </c>
      <c r="E42" s="74" t="s">
        <v>1220</v>
      </c>
      <c r="F42" s="38" t="s">
        <v>1496</v>
      </c>
      <c r="G42" s="38" t="s">
        <v>1498</v>
      </c>
      <c r="H42" s="38" t="s">
        <v>717</v>
      </c>
      <c r="I42" s="38">
        <v>8</v>
      </c>
      <c r="J42" s="38" t="s">
        <v>943</v>
      </c>
      <c r="K42" s="74" t="s">
        <v>1501</v>
      </c>
      <c r="L42" s="75" t="s">
        <v>1530</v>
      </c>
      <c r="M42" s="74" t="s">
        <v>1504</v>
      </c>
      <c r="N42" s="38" t="s">
        <v>272</v>
      </c>
      <c r="O42" s="38">
        <v>5880</v>
      </c>
      <c r="P42" s="38" t="s">
        <v>922</v>
      </c>
      <c r="Q42" s="38" t="s">
        <v>1532</v>
      </c>
      <c r="R42" s="80" t="s">
        <v>1492</v>
      </c>
      <c r="S42" s="72">
        <v>2</v>
      </c>
      <c r="T42" s="72">
        <v>30</v>
      </c>
      <c r="U42" s="38">
        <v>1000</v>
      </c>
      <c r="V42" s="69" t="s">
        <v>1124</v>
      </c>
      <c r="W42" s="73" t="s">
        <v>171</v>
      </c>
      <c r="X42" s="69" t="s">
        <v>172</v>
      </c>
      <c r="Y42" s="69">
        <v>5880</v>
      </c>
      <c r="Z42" s="252">
        <v>5880</v>
      </c>
      <c r="AA42" s="252" t="s">
        <v>1194</v>
      </c>
      <c r="AB42" s="252">
        <v>103</v>
      </c>
      <c r="AC42" s="252" t="s">
        <v>1459</v>
      </c>
      <c r="AD42" s="252" t="s">
        <v>1458</v>
      </c>
      <c r="AE42" s="183" t="s">
        <v>284</v>
      </c>
      <c r="AF42" s="340"/>
      <c r="AG42" s="86" t="s">
        <v>338</v>
      </c>
      <c r="AH42" s="86">
        <v>44914</v>
      </c>
    </row>
    <row r="43" spans="1:34" hidden="1" x14ac:dyDescent="0.25">
      <c r="A43" s="99">
        <v>43911</v>
      </c>
      <c r="B43" s="99">
        <v>45007</v>
      </c>
      <c r="C43" s="103">
        <f ca="1">(YEAR(NOW())-YEAR(A43))</f>
        <v>4</v>
      </c>
      <c r="D43" s="38" t="s">
        <v>289</v>
      </c>
      <c r="E43" s="104" t="s">
        <v>834</v>
      </c>
      <c r="F43" s="2" t="s">
        <v>290</v>
      </c>
      <c r="G43" s="38" t="s">
        <v>291</v>
      </c>
      <c r="H43" s="70" t="s">
        <v>713</v>
      </c>
      <c r="I43" s="38">
        <v>8</v>
      </c>
      <c r="J43" s="38" t="s">
        <v>11</v>
      </c>
      <c r="K43" s="74" t="s">
        <v>810</v>
      </c>
      <c r="L43" s="75" t="s">
        <v>578</v>
      </c>
      <c r="M43" s="74" t="s">
        <v>590</v>
      </c>
      <c r="N43" s="38" t="s">
        <v>272</v>
      </c>
      <c r="O43" s="38">
        <v>7458</v>
      </c>
      <c r="P43" s="38" t="s">
        <v>920</v>
      </c>
      <c r="Q43" s="38" t="s">
        <v>125</v>
      </c>
      <c r="R43" s="80">
        <v>192168254146</v>
      </c>
      <c r="S43" s="80">
        <v>1</v>
      </c>
      <c r="T43" s="80">
        <v>12</v>
      </c>
      <c r="U43" s="38">
        <v>1000</v>
      </c>
      <c r="V43" s="38" t="s">
        <v>1092</v>
      </c>
      <c r="W43" s="70" t="s">
        <v>127</v>
      </c>
      <c r="X43" s="38" t="s">
        <v>18</v>
      </c>
      <c r="Y43" s="38">
        <v>5824</v>
      </c>
      <c r="Z43" s="253">
        <v>5824</v>
      </c>
      <c r="AA43" s="253" t="s">
        <v>1148</v>
      </c>
      <c r="AB43" s="253">
        <v>25</v>
      </c>
      <c r="AC43" s="253" t="s">
        <v>1434</v>
      </c>
      <c r="AD43" s="253" t="s">
        <v>1435</v>
      </c>
      <c r="AE43" s="185" t="s">
        <v>292</v>
      </c>
      <c r="AF43" s="100"/>
      <c r="AG43" s="86" t="s">
        <v>338</v>
      </c>
      <c r="AH43" s="86">
        <v>44938</v>
      </c>
    </row>
    <row r="44" spans="1:34" hidden="1" x14ac:dyDescent="0.25">
      <c r="A44" s="99">
        <v>43911</v>
      </c>
      <c r="B44" s="99">
        <v>45007</v>
      </c>
      <c r="C44" s="103">
        <f t="shared" ref="C44:C56" ca="1" si="5">(YEAR(NOW())-YEAR(A44))</f>
        <v>4</v>
      </c>
      <c r="D44" s="38" t="s">
        <v>289</v>
      </c>
      <c r="E44" s="104" t="s">
        <v>820</v>
      </c>
      <c r="F44" s="11" t="s">
        <v>296</v>
      </c>
      <c r="G44" s="75" t="s">
        <v>298</v>
      </c>
      <c r="H44" s="70" t="s">
        <v>712</v>
      </c>
      <c r="I44" s="75">
        <v>8</v>
      </c>
      <c r="J44" s="75" t="s">
        <v>11</v>
      </c>
      <c r="K44" s="77" t="s">
        <v>678</v>
      </c>
      <c r="L44" s="75" t="s">
        <v>530</v>
      </c>
      <c r="M44" s="77" t="s">
        <v>600</v>
      </c>
      <c r="N44" s="86" t="s">
        <v>272</v>
      </c>
      <c r="O44" s="38">
        <v>7423</v>
      </c>
      <c r="P44" s="86" t="s">
        <v>919</v>
      </c>
      <c r="Q44" s="75" t="s">
        <v>676</v>
      </c>
      <c r="R44" s="76">
        <v>192168254156</v>
      </c>
      <c r="S44" s="76">
        <v>1</v>
      </c>
      <c r="T44" s="76">
        <v>23</v>
      </c>
      <c r="U44" s="38">
        <v>1000</v>
      </c>
      <c r="V44" s="38" t="s">
        <v>1101</v>
      </c>
      <c r="W44" s="116" t="s">
        <v>96</v>
      </c>
      <c r="X44" s="75" t="s">
        <v>18</v>
      </c>
      <c r="Y44" s="75" t="s">
        <v>515</v>
      </c>
      <c r="Z44" s="254">
        <v>5806</v>
      </c>
      <c r="AA44" s="254" t="s">
        <v>1166</v>
      </c>
      <c r="AB44" s="254">
        <v>82</v>
      </c>
      <c r="AC44" s="254" t="s">
        <v>1417</v>
      </c>
      <c r="AD44" s="254" t="s">
        <v>1412</v>
      </c>
      <c r="AE44" s="184" t="s">
        <v>276</v>
      </c>
      <c r="AF44" s="100"/>
      <c r="AG44" s="86" t="s">
        <v>338</v>
      </c>
      <c r="AH44" s="86">
        <v>44951</v>
      </c>
    </row>
    <row r="45" spans="1:34" hidden="1" x14ac:dyDescent="0.25">
      <c r="A45" s="99">
        <v>41730</v>
      </c>
      <c r="B45" s="99">
        <v>42095</v>
      </c>
      <c r="C45" s="103">
        <f ca="1">(YEAR(NOW())-YEAR(A45))</f>
        <v>10</v>
      </c>
      <c r="D45" s="38" t="s">
        <v>88</v>
      </c>
      <c r="E45" s="74" t="s">
        <v>831</v>
      </c>
      <c r="F45" s="38" t="s">
        <v>552</v>
      </c>
      <c r="G45" s="38" t="s">
        <v>936</v>
      </c>
      <c r="H45" s="70" t="s">
        <v>713</v>
      </c>
      <c r="I45" s="38">
        <v>4</v>
      </c>
      <c r="J45" s="38" t="s">
        <v>943</v>
      </c>
      <c r="K45" s="74" t="s">
        <v>604</v>
      </c>
      <c r="L45" s="38" t="s">
        <v>506</v>
      </c>
      <c r="M45" s="74" t="s">
        <v>603</v>
      </c>
      <c r="N45" s="38" t="s">
        <v>272</v>
      </c>
      <c r="O45" s="38" t="s">
        <v>1754</v>
      </c>
      <c r="P45" s="38" t="s">
        <v>928</v>
      </c>
      <c r="Q45" s="38" t="s">
        <v>100</v>
      </c>
      <c r="R45" s="80">
        <v>192168254125</v>
      </c>
      <c r="S45" s="80">
        <v>2</v>
      </c>
      <c r="T45" s="80">
        <v>3</v>
      </c>
      <c r="U45" s="75">
        <v>1000</v>
      </c>
      <c r="V45" s="75" t="s">
        <v>1116</v>
      </c>
      <c r="W45" s="70" t="s">
        <v>1753</v>
      </c>
      <c r="X45" s="38" t="s">
        <v>176</v>
      </c>
      <c r="Y45" s="87">
        <v>5828</v>
      </c>
      <c r="Z45" s="255">
        <v>5828</v>
      </c>
      <c r="AA45" s="255" t="s">
        <v>1189</v>
      </c>
      <c r="AB45" s="255">
        <v>125</v>
      </c>
      <c r="AC45" s="255" t="s">
        <v>1445</v>
      </c>
      <c r="AD45" s="255" t="s">
        <v>1444</v>
      </c>
      <c r="AE45" s="417" t="s">
        <v>1736</v>
      </c>
      <c r="AF45" s="340"/>
      <c r="AG45" s="86" t="s">
        <v>338</v>
      </c>
      <c r="AH45" s="86">
        <v>44938</v>
      </c>
    </row>
    <row r="46" spans="1:34" hidden="1" x14ac:dyDescent="0.25">
      <c r="A46" s="351">
        <v>40826</v>
      </c>
      <c r="B46" s="351">
        <v>41193</v>
      </c>
      <c r="C46" s="370">
        <f ca="1">(YEAR(NOW())-YEAR(A46))</f>
        <v>13</v>
      </c>
      <c r="D46" s="251" t="s">
        <v>801</v>
      </c>
      <c r="E46" s="353" t="s">
        <v>828</v>
      </c>
      <c r="F46" s="251" t="s">
        <v>94</v>
      </c>
      <c r="G46" s="251" t="s">
        <v>902</v>
      </c>
      <c r="H46" s="354" t="s">
        <v>713</v>
      </c>
      <c r="I46" s="251">
        <v>4</v>
      </c>
      <c r="J46" s="251" t="s">
        <v>943</v>
      </c>
      <c r="K46" s="353" t="s">
        <v>974</v>
      </c>
      <c r="L46" s="251" t="s">
        <v>502</v>
      </c>
      <c r="M46" s="355" t="s">
        <v>617</v>
      </c>
      <c r="N46" s="356" t="s">
        <v>272</v>
      </c>
      <c r="O46" s="251" t="s">
        <v>1752</v>
      </c>
      <c r="P46" s="255" t="s">
        <v>1693</v>
      </c>
      <c r="Q46" s="251" t="s">
        <v>142</v>
      </c>
      <c r="R46" s="357">
        <v>192168254181</v>
      </c>
      <c r="S46" s="357">
        <v>2</v>
      </c>
      <c r="T46" s="357">
        <v>4</v>
      </c>
      <c r="U46" s="251">
        <v>1000</v>
      </c>
      <c r="V46" s="251" t="s">
        <v>1117</v>
      </c>
      <c r="W46" s="354" t="s">
        <v>1695</v>
      </c>
      <c r="X46" s="251" t="s">
        <v>176</v>
      </c>
      <c r="Y46" s="251">
        <v>5811</v>
      </c>
      <c r="Z46" s="251">
        <v>5811</v>
      </c>
      <c r="AA46" s="251" t="s">
        <v>1191</v>
      </c>
      <c r="AB46" s="251">
        <v>181</v>
      </c>
      <c r="AC46" s="251" t="s">
        <v>1451</v>
      </c>
      <c r="AD46" s="251" t="s">
        <v>1450</v>
      </c>
      <c r="AE46" s="416" t="s">
        <v>1697</v>
      </c>
      <c r="AF46" s="363"/>
      <c r="AG46" s="356" t="s">
        <v>338</v>
      </c>
      <c r="AH46" s="350"/>
    </row>
    <row r="47" spans="1:34" hidden="1" x14ac:dyDescent="0.25">
      <c r="A47" s="99">
        <v>44271</v>
      </c>
      <c r="B47" s="99">
        <v>45368</v>
      </c>
      <c r="C47" s="103">
        <f t="shared" ca="1" si="5"/>
        <v>3</v>
      </c>
      <c r="D47" s="38" t="s">
        <v>346</v>
      </c>
      <c r="E47" s="74" t="s">
        <v>830</v>
      </c>
      <c r="F47" s="38" t="s">
        <v>375</v>
      </c>
      <c r="G47" s="38" t="s">
        <v>374</v>
      </c>
      <c r="H47" s="70" t="s">
        <v>711</v>
      </c>
      <c r="I47" s="38">
        <v>8</v>
      </c>
      <c r="J47" s="75" t="s">
        <v>11</v>
      </c>
      <c r="K47" s="77" t="s">
        <v>754</v>
      </c>
      <c r="L47" s="38" t="s">
        <v>530</v>
      </c>
      <c r="M47" s="74" t="s">
        <v>734</v>
      </c>
      <c r="N47" s="86" t="s">
        <v>272</v>
      </c>
      <c r="O47" s="38" t="s">
        <v>947</v>
      </c>
      <c r="P47" s="86" t="s">
        <v>915</v>
      </c>
      <c r="Q47" s="38" t="s">
        <v>47</v>
      </c>
      <c r="R47" s="80">
        <v>192168254221</v>
      </c>
      <c r="S47" s="80">
        <v>1</v>
      </c>
      <c r="T47" s="80">
        <v>17</v>
      </c>
      <c r="U47" s="38">
        <v>1000</v>
      </c>
      <c r="V47" s="38" t="s">
        <v>1097</v>
      </c>
      <c r="W47" s="70" t="s">
        <v>492</v>
      </c>
      <c r="X47" s="38" t="s">
        <v>18</v>
      </c>
      <c r="Y47" s="38" t="s">
        <v>521</v>
      </c>
      <c r="Z47" s="251">
        <v>5831</v>
      </c>
      <c r="AA47" s="251" t="s">
        <v>1157</v>
      </c>
      <c r="AB47" s="251">
        <v>112</v>
      </c>
      <c r="AC47" s="251" t="s">
        <v>1410</v>
      </c>
      <c r="AD47" s="251" t="s">
        <v>1411</v>
      </c>
      <c r="AE47" s="184" t="s">
        <v>278</v>
      </c>
      <c r="AF47" s="100"/>
      <c r="AG47" s="38" t="s">
        <v>338</v>
      </c>
      <c r="AH47" s="86">
        <v>44938</v>
      </c>
    </row>
    <row r="48" spans="1:34" hidden="1" x14ac:dyDescent="0.25">
      <c r="A48" s="99">
        <v>43911</v>
      </c>
      <c r="B48" s="99">
        <v>45007</v>
      </c>
      <c r="C48" s="103">
        <f ca="1">(YEAR(NOW())-YEAR(A48))</f>
        <v>4</v>
      </c>
      <c r="D48" s="38" t="s">
        <v>289</v>
      </c>
      <c r="E48" s="74" t="s">
        <v>820</v>
      </c>
      <c r="F48" s="38" t="s">
        <v>293</v>
      </c>
      <c r="G48" s="38" t="s">
        <v>294</v>
      </c>
      <c r="H48" s="70" t="s">
        <v>713</v>
      </c>
      <c r="I48" s="38">
        <v>8</v>
      </c>
      <c r="J48" s="38" t="s">
        <v>943</v>
      </c>
      <c r="K48" s="74" t="s">
        <v>1008</v>
      </c>
      <c r="L48" s="38" t="s">
        <v>533</v>
      </c>
      <c r="M48" s="74" t="s">
        <v>582</v>
      </c>
      <c r="N48" s="38" t="s">
        <v>272</v>
      </c>
      <c r="O48" s="38">
        <v>8130</v>
      </c>
      <c r="P48" s="86" t="s">
        <v>914</v>
      </c>
      <c r="Q48" s="38" t="s">
        <v>34</v>
      </c>
      <c r="R48" s="80">
        <v>192168254147</v>
      </c>
      <c r="S48" s="80">
        <v>1</v>
      </c>
      <c r="T48" s="80">
        <v>16</v>
      </c>
      <c r="U48" s="38">
        <v>1000</v>
      </c>
      <c r="V48" s="38" t="s">
        <v>1094</v>
      </c>
      <c r="W48" s="70" t="s">
        <v>239</v>
      </c>
      <c r="X48" s="38" t="s">
        <v>18</v>
      </c>
      <c r="Y48" s="38" t="s">
        <v>517</v>
      </c>
      <c r="Z48" s="251">
        <v>5805</v>
      </c>
      <c r="AA48" s="251" t="s">
        <v>1152</v>
      </c>
      <c r="AB48" s="251">
        <v>109</v>
      </c>
      <c r="AC48" s="251" t="s">
        <v>1404</v>
      </c>
      <c r="AD48" s="251" t="s">
        <v>1405</v>
      </c>
      <c r="AE48" s="184" t="s">
        <v>330</v>
      </c>
      <c r="AF48" s="100"/>
      <c r="AG48" s="38" t="s">
        <v>338</v>
      </c>
      <c r="AH48" s="86">
        <v>44951</v>
      </c>
    </row>
    <row r="49" spans="1:34" hidden="1" x14ac:dyDescent="0.25">
      <c r="A49" s="99">
        <v>45469</v>
      </c>
      <c r="B49" s="99">
        <v>45469</v>
      </c>
      <c r="C49" s="103">
        <f ca="1">(YEAR(NOW())-YEAR(A49))</f>
        <v>0</v>
      </c>
      <c r="D49" s="38" t="s">
        <v>1742</v>
      </c>
      <c r="E49" s="74" t="s">
        <v>820</v>
      </c>
      <c r="F49" s="38" t="s">
        <v>1748</v>
      </c>
      <c r="G49" s="38" t="s">
        <v>1746</v>
      </c>
      <c r="H49" s="70" t="s">
        <v>1744</v>
      </c>
      <c r="I49" s="38">
        <v>16</v>
      </c>
      <c r="J49" s="38" t="s">
        <v>943</v>
      </c>
      <c r="K49" s="74" t="s">
        <v>760</v>
      </c>
      <c r="L49" s="38" t="s">
        <v>530</v>
      </c>
      <c r="M49" s="74" t="s">
        <v>731</v>
      </c>
      <c r="N49" s="38" t="s">
        <v>272</v>
      </c>
      <c r="O49" s="38" t="s">
        <v>950</v>
      </c>
      <c r="P49" s="38" t="s">
        <v>910</v>
      </c>
      <c r="Q49" s="38" t="s">
        <v>1747</v>
      </c>
      <c r="R49" s="84">
        <v>192168254164</v>
      </c>
      <c r="S49" s="38">
        <v>1</v>
      </c>
      <c r="T49" s="38">
        <v>45</v>
      </c>
      <c r="U49" s="38">
        <v>1000</v>
      </c>
      <c r="V49" s="38" t="s">
        <v>1115</v>
      </c>
      <c r="W49" s="70" t="s">
        <v>61</v>
      </c>
      <c r="X49" s="38" t="s">
        <v>18</v>
      </c>
      <c r="Y49" s="38" t="s">
        <v>522</v>
      </c>
      <c r="Z49" s="251">
        <v>5822</v>
      </c>
      <c r="AA49" s="251" t="s">
        <v>1188</v>
      </c>
      <c r="AB49" s="251">
        <v>141</v>
      </c>
      <c r="AC49" s="251" t="s">
        <v>1419</v>
      </c>
      <c r="AD49" s="251" t="s">
        <v>1746</v>
      </c>
      <c r="AE49" s="184" t="s">
        <v>331</v>
      </c>
      <c r="AF49" s="100"/>
      <c r="AG49" s="38" t="s">
        <v>338</v>
      </c>
      <c r="AH49" s="86">
        <v>45469</v>
      </c>
    </row>
    <row r="50" spans="1:34" hidden="1" x14ac:dyDescent="0.25">
      <c r="A50" s="99">
        <v>44393</v>
      </c>
      <c r="B50" s="99">
        <v>44758</v>
      </c>
      <c r="C50" s="103">
        <f t="shared" ca="1" si="5"/>
        <v>3</v>
      </c>
      <c r="D50" s="38" t="s">
        <v>718</v>
      </c>
      <c r="E50" s="74" t="s">
        <v>830</v>
      </c>
      <c r="F50" s="38" t="s">
        <v>719</v>
      </c>
      <c r="G50" s="75" t="s">
        <v>723</v>
      </c>
      <c r="H50" s="70" t="s">
        <v>711</v>
      </c>
      <c r="I50" s="38">
        <v>8</v>
      </c>
      <c r="J50" s="38" t="s">
        <v>943</v>
      </c>
      <c r="K50" s="74" t="s">
        <v>736</v>
      </c>
      <c r="L50" s="38" t="s">
        <v>530</v>
      </c>
      <c r="M50" s="74" t="s">
        <v>598</v>
      </c>
      <c r="N50" s="86" t="s">
        <v>272</v>
      </c>
      <c r="O50" s="38" t="s">
        <v>948</v>
      </c>
      <c r="P50" s="86" t="s">
        <v>913</v>
      </c>
      <c r="Q50" s="38" t="s">
        <v>726</v>
      </c>
      <c r="R50" s="38" t="s">
        <v>727</v>
      </c>
      <c r="S50" s="83">
        <v>1</v>
      </c>
      <c r="T50" s="83">
        <v>43</v>
      </c>
      <c r="U50" s="38">
        <v>1000</v>
      </c>
      <c r="V50" s="38" t="s">
        <v>1114</v>
      </c>
      <c r="W50" s="70" t="s">
        <v>84</v>
      </c>
      <c r="X50" s="38" t="s">
        <v>18</v>
      </c>
      <c r="Y50" s="38" t="s">
        <v>518</v>
      </c>
      <c r="Z50" s="251">
        <v>5882</v>
      </c>
      <c r="AA50" s="251" t="s">
        <v>1186</v>
      </c>
      <c r="AB50" s="251">
        <v>23</v>
      </c>
      <c r="AC50" s="251" t="s">
        <v>1408</v>
      </c>
      <c r="AD50" s="251" t="s">
        <v>1409</v>
      </c>
      <c r="AE50" s="184" t="s">
        <v>307</v>
      </c>
      <c r="AF50" s="100"/>
      <c r="AG50" s="38" t="s">
        <v>338</v>
      </c>
      <c r="AH50" s="86">
        <v>44950</v>
      </c>
    </row>
    <row r="51" spans="1:34" hidden="1" x14ac:dyDescent="0.25">
      <c r="A51" s="99">
        <v>44393</v>
      </c>
      <c r="B51" s="99">
        <v>44758</v>
      </c>
      <c r="C51" s="103">
        <f t="shared" ca="1" si="5"/>
        <v>3</v>
      </c>
      <c r="D51" s="38" t="s">
        <v>718</v>
      </c>
      <c r="E51" s="74" t="s">
        <v>830</v>
      </c>
      <c r="F51" s="38" t="s">
        <v>721</v>
      </c>
      <c r="G51" s="75" t="s">
        <v>725</v>
      </c>
      <c r="H51" s="70" t="s">
        <v>717</v>
      </c>
      <c r="I51" s="38">
        <v>8</v>
      </c>
      <c r="J51" s="38" t="s">
        <v>11</v>
      </c>
      <c r="K51" s="74" t="s">
        <v>735</v>
      </c>
      <c r="L51" s="38" t="s">
        <v>530</v>
      </c>
      <c r="M51" s="74" t="s">
        <v>599</v>
      </c>
      <c r="N51" s="86" t="s">
        <v>272</v>
      </c>
      <c r="O51" s="38">
        <v>8657</v>
      </c>
      <c r="P51" s="86" t="s">
        <v>911</v>
      </c>
      <c r="Q51" s="38" t="s">
        <v>730</v>
      </c>
      <c r="R51" s="80" t="s">
        <v>729</v>
      </c>
      <c r="S51" s="80">
        <v>1</v>
      </c>
      <c r="T51" s="80">
        <v>40</v>
      </c>
      <c r="U51" s="38">
        <v>1000</v>
      </c>
      <c r="V51" s="38" t="s">
        <v>1112</v>
      </c>
      <c r="W51" s="70" t="s">
        <v>134</v>
      </c>
      <c r="X51" s="38" t="s">
        <v>18</v>
      </c>
      <c r="Y51" s="78" t="s">
        <v>519</v>
      </c>
      <c r="Z51" s="251">
        <v>5812</v>
      </c>
      <c r="AA51" s="251" t="s">
        <v>1182</v>
      </c>
      <c r="AB51" s="251">
        <v>130</v>
      </c>
      <c r="AC51" s="251" t="s">
        <v>1437</v>
      </c>
      <c r="AD51" s="251" t="s">
        <v>1436</v>
      </c>
      <c r="AE51" s="184" t="s">
        <v>288</v>
      </c>
      <c r="AF51" s="100"/>
      <c r="AG51" s="38" t="s">
        <v>338</v>
      </c>
      <c r="AH51" s="86">
        <v>44950</v>
      </c>
    </row>
    <row r="52" spans="1:34" hidden="1" x14ac:dyDescent="0.25">
      <c r="A52" s="99">
        <v>44393</v>
      </c>
      <c r="B52" s="99">
        <v>44758</v>
      </c>
      <c r="C52" s="103">
        <f ca="1">(YEAR(NOW())-YEAR(A52))</f>
        <v>3</v>
      </c>
      <c r="D52" s="38" t="s">
        <v>718</v>
      </c>
      <c r="E52" s="74" t="s">
        <v>830</v>
      </c>
      <c r="F52" s="38" t="s">
        <v>720</v>
      </c>
      <c r="G52" s="75" t="s">
        <v>724</v>
      </c>
      <c r="H52" s="70" t="s">
        <v>711</v>
      </c>
      <c r="I52" s="38">
        <v>8</v>
      </c>
      <c r="J52" s="38" t="s">
        <v>11</v>
      </c>
      <c r="K52" s="74" t="s">
        <v>737</v>
      </c>
      <c r="L52" s="38" t="s">
        <v>530</v>
      </c>
      <c r="M52" s="74" t="s">
        <v>577</v>
      </c>
      <c r="N52" s="86" t="s">
        <v>272</v>
      </c>
      <c r="O52" s="38">
        <v>4004</v>
      </c>
      <c r="P52" s="86" t="s">
        <v>932</v>
      </c>
      <c r="Q52" s="38" t="s">
        <v>740</v>
      </c>
      <c r="R52" s="83" t="s">
        <v>728</v>
      </c>
      <c r="S52" s="83">
        <v>1</v>
      </c>
      <c r="T52" s="83">
        <v>36</v>
      </c>
      <c r="U52" s="38">
        <v>1000</v>
      </c>
      <c r="V52" s="38" t="s">
        <v>1108</v>
      </c>
      <c r="W52" s="70" t="s">
        <v>739</v>
      </c>
      <c r="X52" s="38" t="s">
        <v>114</v>
      </c>
      <c r="Y52" s="38">
        <v>5818</v>
      </c>
      <c r="Z52" s="251">
        <v>5818</v>
      </c>
      <c r="AA52" s="251" t="s">
        <v>1174</v>
      </c>
      <c r="AB52" s="251">
        <v>120</v>
      </c>
      <c r="AC52" s="251" t="s">
        <v>1449</v>
      </c>
      <c r="AD52" s="251" t="s">
        <v>1448</v>
      </c>
      <c r="AE52" s="183" t="s">
        <v>341</v>
      </c>
      <c r="AF52" s="340"/>
      <c r="AG52" s="86" t="s">
        <v>338</v>
      </c>
      <c r="AH52" s="86"/>
    </row>
    <row r="53" spans="1:34" hidden="1" x14ac:dyDescent="0.25">
      <c r="A53" s="99">
        <v>41716</v>
      </c>
      <c r="B53" s="99">
        <v>42813</v>
      </c>
      <c r="C53" s="103">
        <f ca="1">(YEAR(NOW())-YEAR(A53))</f>
        <v>10</v>
      </c>
      <c r="D53" s="38" t="s">
        <v>75</v>
      </c>
      <c r="E53" s="74" t="s">
        <v>815</v>
      </c>
      <c r="F53" s="38" t="s">
        <v>131</v>
      </c>
      <c r="G53" s="38" t="s">
        <v>259</v>
      </c>
      <c r="H53" s="70" t="s">
        <v>714</v>
      </c>
      <c r="I53" s="38">
        <v>4</v>
      </c>
      <c r="J53" s="38" t="s">
        <v>19</v>
      </c>
      <c r="K53" s="74" t="s">
        <v>808</v>
      </c>
      <c r="L53" s="38" t="s">
        <v>507</v>
      </c>
      <c r="M53" s="74" t="s">
        <v>627</v>
      </c>
      <c r="N53" s="38" t="s">
        <v>272</v>
      </c>
      <c r="O53" s="38">
        <v>1835</v>
      </c>
      <c r="P53" s="38" t="s">
        <v>1741</v>
      </c>
      <c r="Q53" s="38" t="s">
        <v>112</v>
      </c>
      <c r="R53" s="80">
        <v>192168254185</v>
      </c>
      <c r="S53" s="80">
        <v>1</v>
      </c>
      <c r="T53" s="80">
        <v>37</v>
      </c>
      <c r="U53" s="38">
        <v>1000</v>
      </c>
      <c r="V53" s="38" t="s">
        <v>1109</v>
      </c>
      <c r="W53" s="70" t="s">
        <v>1715</v>
      </c>
      <c r="X53" s="38" t="s">
        <v>114</v>
      </c>
      <c r="Y53" s="81">
        <v>5875</v>
      </c>
      <c r="Z53" s="253">
        <v>5875</v>
      </c>
      <c r="AA53" s="251" t="s">
        <v>1176</v>
      </c>
      <c r="AB53" s="253">
        <v>99</v>
      </c>
      <c r="AC53" s="253" t="s">
        <v>1473</v>
      </c>
      <c r="AD53" s="253" t="s">
        <v>1472</v>
      </c>
      <c r="AE53" s="417" t="s">
        <v>1713</v>
      </c>
      <c r="AF53" s="340"/>
      <c r="AG53" s="86" t="s">
        <v>338</v>
      </c>
      <c r="AH53" s="86">
        <v>44854</v>
      </c>
    </row>
    <row r="54" spans="1:34" hidden="1" x14ac:dyDescent="0.25">
      <c r="A54" s="99">
        <v>43911</v>
      </c>
      <c r="B54" s="99">
        <v>45007</v>
      </c>
      <c r="C54" s="103">
        <f t="shared" ca="1" si="5"/>
        <v>4</v>
      </c>
      <c r="D54" s="38" t="s">
        <v>289</v>
      </c>
      <c r="E54" s="74" t="s">
        <v>820</v>
      </c>
      <c r="F54" s="38" t="s">
        <v>299</v>
      </c>
      <c r="G54" s="38" t="s">
        <v>300</v>
      </c>
      <c r="H54" s="70" t="s">
        <v>713</v>
      </c>
      <c r="I54" s="38">
        <v>8</v>
      </c>
      <c r="J54" s="38" t="s">
        <v>11</v>
      </c>
      <c r="K54" s="74" t="s">
        <v>673</v>
      </c>
      <c r="L54" s="38" t="s">
        <v>578</v>
      </c>
      <c r="M54" s="74" t="s">
        <v>589</v>
      </c>
      <c r="N54" s="38" t="s">
        <v>272</v>
      </c>
      <c r="O54" s="38" t="s">
        <v>952</v>
      </c>
      <c r="P54" s="38" t="s">
        <v>908</v>
      </c>
      <c r="Q54" s="38" t="s">
        <v>319</v>
      </c>
      <c r="R54" s="80">
        <v>192168254148</v>
      </c>
      <c r="S54" s="80">
        <v>1</v>
      </c>
      <c r="T54" s="80">
        <v>6</v>
      </c>
      <c r="U54" s="38">
        <v>1000</v>
      </c>
      <c r="V54" s="38" t="s">
        <v>1089</v>
      </c>
      <c r="W54" s="70" t="s">
        <v>237</v>
      </c>
      <c r="X54" s="38" t="s">
        <v>49</v>
      </c>
      <c r="Y54" s="38">
        <v>5838</v>
      </c>
      <c r="Z54" s="251">
        <v>5838</v>
      </c>
      <c r="AA54" s="251" t="s">
        <v>1142</v>
      </c>
      <c r="AB54" s="251">
        <v>146</v>
      </c>
      <c r="AC54" s="251" t="s">
        <v>1441</v>
      </c>
      <c r="AD54" s="251" t="s">
        <v>1442</v>
      </c>
      <c r="AE54" s="183" t="s">
        <v>301</v>
      </c>
      <c r="AF54" s="100"/>
      <c r="AG54" s="86" t="s">
        <v>338</v>
      </c>
      <c r="AH54" s="86">
        <v>44998</v>
      </c>
    </row>
    <row r="55" spans="1:34" hidden="1" x14ac:dyDescent="0.25">
      <c r="A55" s="99">
        <v>41716</v>
      </c>
      <c r="B55" s="99">
        <v>42813</v>
      </c>
      <c r="C55" s="103">
        <f ca="1">(YEAR(NOW())-YEAR(A55))</f>
        <v>10</v>
      </c>
      <c r="D55" s="38" t="s">
        <v>75</v>
      </c>
      <c r="E55" s="74" t="s">
        <v>815</v>
      </c>
      <c r="F55" s="38" t="s">
        <v>124</v>
      </c>
      <c r="G55" s="38" t="s">
        <v>263</v>
      </c>
      <c r="H55" s="70" t="s">
        <v>1251</v>
      </c>
      <c r="I55" s="38">
        <v>4</v>
      </c>
      <c r="J55" s="38" t="s">
        <v>943</v>
      </c>
      <c r="K55" s="74" t="s">
        <v>974</v>
      </c>
      <c r="L55" s="38" t="s">
        <v>506</v>
      </c>
      <c r="M55" s="74" t="s">
        <v>603</v>
      </c>
      <c r="N55" s="86" t="s">
        <v>272</v>
      </c>
      <c r="O55" s="38">
        <v>1129</v>
      </c>
      <c r="P55" s="86" t="s">
        <v>953</v>
      </c>
      <c r="Q55" s="38" t="s">
        <v>1345</v>
      </c>
      <c r="R55" s="80">
        <v>192168254181</v>
      </c>
      <c r="S55" s="72">
        <v>1</v>
      </c>
      <c r="T55" s="72">
        <v>9</v>
      </c>
      <c r="U55" s="38">
        <v>1000</v>
      </c>
      <c r="V55" s="38" t="s">
        <v>1091</v>
      </c>
      <c r="W55" s="73" t="s">
        <v>113</v>
      </c>
      <c r="X55" s="38" t="s">
        <v>49</v>
      </c>
      <c r="Y55" s="69">
        <v>5811</v>
      </c>
      <c r="Z55" s="256">
        <v>5811</v>
      </c>
      <c r="AA55" s="252" t="s">
        <v>1145</v>
      </c>
      <c r="AB55" s="252">
        <v>83</v>
      </c>
      <c r="AC55" s="252" t="s">
        <v>1471</v>
      </c>
      <c r="AD55" s="252" t="s">
        <v>1470</v>
      </c>
      <c r="AE55" s="186" t="s">
        <v>363</v>
      </c>
      <c r="AF55" s="340"/>
      <c r="AG55" s="86" t="s">
        <v>338</v>
      </c>
      <c r="AH55" s="86">
        <v>44950</v>
      </c>
    </row>
    <row r="56" spans="1:34" hidden="1" x14ac:dyDescent="0.25">
      <c r="A56" s="99">
        <v>42548</v>
      </c>
      <c r="B56" s="99">
        <v>43004</v>
      </c>
      <c r="C56" s="103">
        <f t="shared" ca="1" si="5"/>
        <v>8</v>
      </c>
      <c r="D56" s="38" t="s">
        <v>136</v>
      </c>
      <c r="E56" s="74" t="s">
        <v>819</v>
      </c>
      <c r="F56" s="38" t="s">
        <v>128</v>
      </c>
      <c r="G56" s="38" t="s">
        <v>262</v>
      </c>
      <c r="H56" s="70" t="s">
        <v>714</v>
      </c>
      <c r="I56" s="38">
        <v>4</v>
      </c>
      <c r="J56" s="38" t="s">
        <v>11</v>
      </c>
      <c r="K56" s="74"/>
      <c r="L56" s="79" t="s">
        <v>533</v>
      </c>
      <c r="M56" s="55" t="s">
        <v>669</v>
      </c>
      <c r="N56" s="86" t="s">
        <v>272</v>
      </c>
      <c r="O56" s="38">
        <v>1173</v>
      </c>
      <c r="P56" s="86" t="s">
        <v>1723</v>
      </c>
      <c r="Q56" s="38" t="s">
        <v>35</v>
      </c>
      <c r="R56" s="80">
        <v>192168254149</v>
      </c>
      <c r="S56" s="80">
        <v>1</v>
      </c>
      <c r="T56" s="80">
        <v>5</v>
      </c>
      <c r="U56" s="38">
        <v>1000</v>
      </c>
      <c r="V56" s="38" t="s">
        <v>1088</v>
      </c>
      <c r="W56" s="70" t="s">
        <v>132</v>
      </c>
      <c r="X56" s="38" t="s">
        <v>49</v>
      </c>
      <c r="Y56" s="38">
        <v>5829</v>
      </c>
      <c r="Z56" s="251">
        <v>5829</v>
      </c>
      <c r="AA56" s="251" t="s">
        <v>1140</v>
      </c>
      <c r="AB56" s="251">
        <v>107</v>
      </c>
      <c r="AC56" s="251" t="s">
        <v>1447</v>
      </c>
      <c r="AD56" s="251" t="s">
        <v>1446</v>
      </c>
      <c r="AE56" s="417" t="s">
        <v>282</v>
      </c>
      <c r="AF56" s="342" t="s">
        <v>534</v>
      </c>
      <c r="AG56" s="86" t="s">
        <v>338</v>
      </c>
      <c r="AH56" s="350">
        <v>44950</v>
      </c>
    </row>
    <row r="57" spans="1:34" hidden="1" x14ac:dyDescent="0.25">
      <c r="A57" s="99">
        <v>42284</v>
      </c>
      <c r="B57" s="99">
        <v>43381</v>
      </c>
      <c r="C57" s="103">
        <f ca="1">(YEAR(NOW())-YEAR(A57))</f>
        <v>9</v>
      </c>
      <c r="D57" s="75" t="s">
        <v>187</v>
      </c>
      <c r="E57" s="77" t="s">
        <v>832</v>
      </c>
      <c r="F57" s="75" t="s">
        <v>182</v>
      </c>
      <c r="G57" s="75" t="s">
        <v>803</v>
      </c>
      <c r="H57" s="70" t="s">
        <v>713</v>
      </c>
      <c r="I57" s="75">
        <v>8</v>
      </c>
      <c r="J57" s="75" t="s">
        <v>943</v>
      </c>
      <c r="K57" s="77" t="s">
        <v>974</v>
      </c>
      <c r="L57" s="75" t="s">
        <v>502</v>
      </c>
      <c r="M57" s="77" t="s">
        <v>614</v>
      </c>
      <c r="N57" s="86" t="s">
        <v>272</v>
      </c>
      <c r="O57" s="38" t="s">
        <v>1060</v>
      </c>
      <c r="P57" s="86" t="s">
        <v>1004</v>
      </c>
      <c r="Q57" s="75" t="s">
        <v>151</v>
      </c>
      <c r="R57" s="76">
        <v>192168254132</v>
      </c>
      <c r="S57" s="80">
        <v>1</v>
      </c>
      <c r="T57" s="80">
        <v>28</v>
      </c>
      <c r="U57" s="38">
        <v>1000</v>
      </c>
      <c r="V57" s="38" t="s">
        <v>1103</v>
      </c>
      <c r="W57" s="116" t="s">
        <v>1720</v>
      </c>
      <c r="X57" s="75" t="s">
        <v>990</v>
      </c>
      <c r="Y57" s="81">
        <v>5855</v>
      </c>
      <c r="Z57" s="253">
        <v>5855</v>
      </c>
      <c r="AA57" s="253" t="s">
        <v>1168</v>
      </c>
      <c r="AB57" s="251">
        <v>194</v>
      </c>
      <c r="AC57" s="251" t="s">
        <v>1502</v>
      </c>
      <c r="AD57" s="251" t="s">
        <v>1562</v>
      </c>
      <c r="AE57" s="184" t="s">
        <v>1003</v>
      </c>
      <c r="AF57" s="340"/>
      <c r="AG57" s="86" t="s">
        <v>338</v>
      </c>
      <c r="AH57" s="86"/>
    </row>
    <row r="58" spans="1:34" s="123" customFormat="1" hidden="1" x14ac:dyDescent="0.25">
      <c r="A58" s="431">
        <v>44804</v>
      </c>
      <c r="B58" s="431">
        <v>45901</v>
      </c>
      <c r="C58" s="432">
        <f ca="1">(YEAR(NOW())-YEAR(A58))</f>
        <v>2</v>
      </c>
      <c r="D58" s="433" t="s">
        <v>1219</v>
      </c>
      <c r="E58" s="434" t="s">
        <v>1220</v>
      </c>
      <c r="F58" s="433" t="s">
        <v>1495</v>
      </c>
      <c r="G58" s="433" t="s">
        <v>1497</v>
      </c>
      <c r="H58" s="433" t="s">
        <v>717</v>
      </c>
      <c r="I58" s="433">
        <v>8</v>
      </c>
      <c r="J58" s="433" t="s">
        <v>943</v>
      </c>
      <c r="K58" s="434" t="s">
        <v>1500</v>
      </c>
      <c r="L58" s="435" t="s">
        <v>1530</v>
      </c>
      <c r="M58" s="434" t="s">
        <v>1505</v>
      </c>
      <c r="N58" s="433" t="s">
        <v>272</v>
      </c>
      <c r="O58" s="436"/>
      <c r="P58" s="436"/>
      <c r="Q58" s="433" t="s">
        <v>1489</v>
      </c>
      <c r="R58" s="437" t="s">
        <v>1491</v>
      </c>
      <c r="S58" s="438"/>
      <c r="T58" s="438"/>
      <c r="U58" s="433">
        <v>1000</v>
      </c>
      <c r="V58" s="433" t="s">
        <v>1107</v>
      </c>
      <c r="W58" s="439" t="s">
        <v>1440</v>
      </c>
      <c r="X58" s="433" t="s">
        <v>18</v>
      </c>
      <c r="Y58" s="433">
        <v>5860</v>
      </c>
      <c r="Z58" s="433">
        <v>5860</v>
      </c>
      <c r="AA58" s="433" t="s">
        <v>1172</v>
      </c>
      <c r="AB58" s="433">
        <v>123</v>
      </c>
      <c r="AC58" s="433" t="s">
        <v>1467</v>
      </c>
      <c r="AD58" s="433" t="s">
        <v>1466</v>
      </c>
      <c r="AE58" s="438"/>
      <c r="AF58" s="440" t="s">
        <v>1639</v>
      </c>
      <c r="AG58" s="441" t="s">
        <v>1626</v>
      </c>
      <c r="AH58" s="441"/>
    </row>
    <row r="59" spans="1:34" hidden="1" x14ac:dyDescent="0.25">
      <c r="A59" s="99">
        <v>44741</v>
      </c>
      <c r="B59" s="99">
        <v>45838</v>
      </c>
      <c r="C59" s="103">
        <f ca="1">(YEAR(NOW())-YEAR(A59))</f>
        <v>2</v>
      </c>
      <c r="D59" s="38" t="s">
        <v>1219</v>
      </c>
      <c r="E59" s="74" t="s">
        <v>1220</v>
      </c>
      <c r="F59" s="38" t="s">
        <v>1221</v>
      </c>
      <c r="G59" s="38" t="s">
        <v>1296</v>
      </c>
      <c r="H59" s="38" t="s">
        <v>717</v>
      </c>
      <c r="I59" s="38">
        <v>8</v>
      </c>
      <c r="J59" s="38" t="s">
        <v>943</v>
      </c>
      <c r="K59" s="74" t="s">
        <v>1303</v>
      </c>
      <c r="L59" s="75" t="s">
        <v>578</v>
      </c>
      <c r="M59" s="74" t="s">
        <v>1259</v>
      </c>
      <c r="N59" s="38" t="s">
        <v>272</v>
      </c>
      <c r="O59" s="38">
        <v>7894</v>
      </c>
      <c r="P59" s="86" t="s">
        <v>921</v>
      </c>
      <c r="Q59" s="38" t="s">
        <v>1297</v>
      </c>
      <c r="R59" s="80" t="s">
        <v>1227</v>
      </c>
      <c r="S59" s="80">
        <v>1</v>
      </c>
      <c r="T59" s="80">
        <v>30</v>
      </c>
      <c r="U59" s="38">
        <v>1000</v>
      </c>
      <c r="V59" s="38" t="s">
        <v>1106</v>
      </c>
      <c r="W59" s="70" t="s">
        <v>345</v>
      </c>
      <c r="X59" s="38" t="s">
        <v>49</v>
      </c>
      <c r="Y59" s="38" t="s">
        <v>1304</v>
      </c>
      <c r="Z59" s="251">
        <v>5820</v>
      </c>
      <c r="AA59" s="251" t="s">
        <v>1170</v>
      </c>
      <c r="AB59" s="251">
        <v>89</v>
      </c>
      <c r="AC59" s="251" t="s">
        <v>1455</v>
      </c>
      <c r="AD59" s="251" t="s">
        <v>1454</v>
      </c>
      <c r="AE59" s="184" t="s">
        <v>357</v>
      </c>
      <c r="AF59" s="340"/>
      <c r="AG59" s="86" t="s">
        <v>338</v>
      </c>
      <c r="AH59" s="86"/>
    </row>
    <row r="60" spans="1:34" hidden="1" x14ac:dyDescent="0.25">
      <c r="A60" s="99">
        <v>44741</v>
      </c>
      <c r="B60" s="99">
        <v>45838</v>
      </c>
      <c r="C60" s="103">
        <f t="shared" ref="C60:C69" ca="1" si="6">(YEAR(NOW())-YEAR(A60))</f>
        <v>2</v>
      </c>
      <c r="D60" s="38" t="s">
        <v>1219</v>
      </c>
      <c r="E60" s="74" t="s">
        <v>1220</v>
      </c>
      <c r="F60" s="38" t="s">
        <v>1285</v>
      </c>
      <c r="G60" s="38" t="s">
        <v>1308</v>
      </c>
      <c r="H60" s="38" t="s">
        <v>717</v>
      </c>
      <c r="I60" s="38">
        <v>8</v>
      </c>
      <c r="J60" s="38" t="s">
        <v>943</v>
      </c>
      <c r="K60" s="74" t="s">
        <v>1307</v>
      </c>
      <c r="L60" s="75" t="s">
        <v>578</v>
      </c>
      <c r="M60" s="74" t="s">
        <v>1260</v>
      </c>
      <c r="N60" s="38" t="s">
        <v>272</v>
      </c>
      <c r="O60" s="38">
        <v>6926</v>
      </c>
      <c r="P60" s="38" t="s">
        <v>917</v>
      </c>
      <c r="Q60" s="38" t="s">
        <v>1305</v>
      </c>
      <c r="R60" s="80" t="s">
        <v>1228</v>
      </c>
      <c r="S60" s="80">
        <v>1</v>
      </c>
      <c r="T60" s="80">
        <v>20</v>
      </c>
      <c r="U60" s="38">
        <v>1000</v>
      </c>
      <c r="V60" s="38" t="s">
        <v>1099</v>
      </c>
      <c r="W60" s="70" t="s">
        <v>324</v>
      </c>
      <c r="X60" s="38" t="s">
        <v>18</v>
      </c>
      <c r="Y60" s="38" t="s">
        <v>523</v>
      </c>
      <c r="Z60" s="251">
        <v>5802</v>
      </c>
      <c r="AA60" s="251" t="s">
        <v>1161</v>
      </c>
      <c r="AB60" s="251">
        <v>81</v>
      </c>
      <c r="AC60" s="251" t="s">
        <v>1425</v>
      </c>
      <c r="AD60" s="251" t="s">
        <v>1438</v>
      </c>
      <c r="AE60" s="183" t="s">
        <v>326</v>
      </c>
      <c r="AF60" s="340"/>
      <c r="AG60" s="86" t="s">
        <v>338</v>
      </c>
      <c r="AH60" s="86">
        <v>44914</v>
      </c>
    </row>
    <row r="61" spans="1:34" hidden="1" x14ac:dyDescent="0.25">
      <c r="A61" s="99">
        <v>44741</v>
      </c>
      <c r="B61" s="99">
        <v>45838</v>
      </c>
      <c r="C61" s="103">
        <f t="shared" ca="1" si="6"/>
        <v>2</v>
      </c>
      <c r="D61" s="38" t="s">
        <v>1219</v>
      </c>
      <c r="E61" s="74" t="s">
        <v>1220</v>
      </c>
      <c r="F61" s="38" t="s">
        <v>1286</v>
      </c>
      <c r="G61" s="38" t="s">
        <v>1309</v>
      </c>
      <c r="H61" s="38" t="s">
        <v>717</v>
      </c>
      <c r="I61" s="38">
        <v>8</v>
      </c>
      <c r="J61" s="38" t="s">
        <v>943</v>
      </c>
      <c r="K61" s="74" t="s">
        <v>1323</v>
      </c>
      <c r="L61" s="75" t="s">
        <v>578</v>
      </c>
      <c r="M61" s="74" t="s">
        <v>1261</v>
      </c>
      <c r="N61" s="38" t="s">
        <v>272</v>
      </c>
      <c r="O61" s="38" t="s">
        <v>946</v>
      </c>
      <c r="P61" s="86" t="s">
        <v>916</v>
      </c>
      <c r="Q61" s="38" t="s">
        <v>1306</v>
      </c>
      <c r="R61" s="80" t="s">
        <v>1229</v>
      </c>
      <c r="S61" s="80">
        <v>1</v>
      </c>
      <c r="T61" s="80">
        <v>18</v>
      </c>
      <c r="U61" s="38">
        <v>1000</v>
      </c>
      <c r="V61" s="38" t="s">
        <v>1096</v>
      </c>
      <c r="W61" s="70" t="s">
        <v>200</v>
      </c>
      <c r="X61" s="38" t="s">
        <v>18</v>
      </c>
      <c r="Y61" s="38" t="s">
        <v>516</v>
      </c>
      <c r="Z61" s="251">
        <v>5810</v>
      </c>
      <c r="AA61" s="251" t="s">
        <v>1156</v>
      </c>
      <c r="AB61" s="251">
        <v>113</v>
      </c>
      <c r="AC61" s="251" t="s">
        <v>1406</v>
      </c>
      <c r="AD61" s="251" t="s">
        <v>1407</v>
      </c>
      <c r="AE61" s="183" t="s">
        <v>274</v>
      </c>
      <c r="AF61" s="340"/>
      <c r="AG61" s="86" t="s">
        <v>338</v>
      </c>
      <c r="AH61" s="86">
        <v>44914</v>
      </c>
    </row>
    <row r="62" spans="1:34" hidden="1" x14ac:dyDescent="0.25">
      <c r="A62" s="99">
        <v>44741</v>
      </c>
      <c r="B62" s="99">
        <v>45838</v>
      </c>
      <c r="C62" s="103">
        <f t="shared" ca="1" si="6"/>
        <v>2</v>
      </c>
      <c r="D62" s="38" t="s">
        <v>1219</v>
      </c>
      <c r="E62" s="74" t="s">
        <v>1220</v>
      </c>
      <c r="F62" s="38" t="s">
        <v>1287</v>
      </c>
      <c r="G62" s="38" t="s">
        <v>1324</v>
      </c>
      <c r="H62" s="38" t="s">
        <v>717</v>
      </c>
      <c r="I62" s="38">
        <v>8</v>
      </c>
      <c r="J62" s="38" t="s">
        <v>943</v>
      </c>
      <c r="K62" s="74" t="s">
        <v>1327</v>
      </c>
      <c r="L62" s="75" t="s">
        <v>578</v>
      </c>
      <c r="M62" s="74" t="s">
        <v>1262</v>
      </c>
      <c r="N62" s="38" t="s">
        <v>272</v>
      </c>
      <c r="O62" s="38">
        <v>1776</v>
      </c>
      <c r="P62" s="86" t="s">
        <v>918</v>
      </c>
      <c r="Q62" s="38" t="s">
        <v>313</v>
      </c>
      <c r="R62" s="80" t="s">
        <v>33</v>
      </c>
      <c r="S62" s="76">
        <v>1</v>
      </c>
      <c r="T62" s="76">
        <v>22</v>
      </c>
      <c r="U62" s="38">
        <v>1000</v>
      </c>
      <c r="V62" s="38" t="s">
        <v>1100</v>
      </c>
      <c r="W62" s="198" t="s">
        <v>554</v>
      </c>
      <c r="X62" s="75" t="s">
        <v>18</v>
      </c>
      <c r="Y62" s="75" t="s">
        <v>697</v>
      </c>
      <c r="Z62" s="254">
        <v>5876</v>
      </c>
      <c r="AA62" s="254" t="s">
        <v>1164</v>
      </c>
      <c r="AB62" s="254">
        <v>124</v>
      </c>
      <c r="AC62" s="254" t="s">
        <v>1418</v>
      </c>
      <c r="AD62" s="254" t="s">
        <v>1414</v>
      </c>
      <c r="AE62" s="184" t="s">
        <v>675</v>
      </c>
      <c r="AF62" s="340"/>
      <c r="AG62" s="86" t="s">
        <v>338</v>
      </c>
      <c r="AH62" s="86">
        <v>44914</v>
      </c>
    </row>
    <row r="63" spans="1:34" hidden="1" x14ac:dyDescent="0.25">
      <c r="A63" s="210">
        <v>41024</v>
      </c>
      <c r="B63" s="210">
        <v>42120</v>
      </c>
      <c r="C63" s="211">
        <f ca="1">(YEAR(NOW())-YEAR(A63))</f>
        <v>12</v>
      </c>
      <c r="D63" s="212" t="s">
        <v>119</v>
      </c>
      <c r="E63" s="213" t="s">
        <v>829</v>
      </c>
      <c r="F63" s="212" t="s">
        <v>120</v>
      </c>
      <c r="G63" s="212" t="s">
        <v>796</v>
      </c>
      <c r="H63" s="214" t="s">
        <v>713</v>
      </c>
      <c r="I63" s="212">
        <v>4</v>
      </c>
      <c r="J63" s="212" t="s">
        <v>943</v>
      </c>
      <c r="K63" s="213" t="s">
        <v>974</v>
      </c>
      <c r="L63" s="212" t="s">
        <v>533</v>
      </c>
      <c r="M63" s="213" t="s">
        <v>582</v>
      </c>
      <c r="N63" s="215" t="s">
        <v>272</v>
      </c>
      <c r="O63" s="216"/>
      <c r="P63" s="216"/>
      <c r="Q63" s="212" t="s">
        <v>1725</v>
      </c>
      <c r="R63" s="212" t="s">
        <v>42</v>
      </c>
      <c r="S63" s="217"/>
      <c r="T63" s="217"/>
      <c r="U63" s="212">
        <v>1000</v>
      </c>
      <c r="V63" s="212" t="s">
        <v>1111</v>
      </c>
      <c r="W63" s="214" t="s">
        <v>218</v>
      </c>
      <c r="X63" s="212" t="s">
        <v>18</v>
      </c>
      <c r="Y63" s="217"/>
      <c r="Z63" s="301">
        <v>5854</v>
      </c>
      <c r="AA63" s="301" t="s">
        <v>1180</v>
      </c>
      <c r="AB63" s="301">
        <v>114</v>
      </c>
      <c r="AC63" s="301" t="s">
        <v>1469</v>
      </c>
      <c r="AD63" s="301" t="s">
        <v>1468</v>
      </c>
      <c r="AE63" s="217"/>
      <c r="AF63" s="343"/>
      <c r="AG63" s="215"/>
      <c r="AH63" s="215"/>
    </row>
    <row r="64" spans="1:34" hidden="1" x14ac:dyDescent="0.25">
      <c r="A64" s="99">
        <v>44741</v>
      </c>
      <c r="B64" s="99">
        <v>45838</v>
      </c>
      <c r="C64" s="103">
        <f ca="1">(YEAR(NOW())-YEAR(A64))</f>
        <v>2</v>
      </c>
      <c r="D64" s="38" t="s">
        <v>1219</v>
      </c>
      <c r="E64" s="74" t="s">
        <v>1220</v>
      </c>
      <c r="F64" s="38" t="s">
        <v>1288</v>
      </c>
      <c r="G64" s="38" t="s">
        <v>1325</v>
      </c>
      <c r="H64" s="38" t="s">
        <v>717</v>
      </c>
      <c r="I64" s="38">
        <v>8</v>
      </c>
      <c r="J64" s="38" t="s">
        <v>943</v>
      </c>
      <c r="K64" s="74" t="s">
        <v>1326</v>
      </c>
      <c r="L64" s="75" t="s">
        <v>578</v>
      </c>
      <c r="M64" s="74" t="s">
        <v>1263</v>
      </c>
      <c r="N64" s="38" t="s">
        <v>272</v>
      </c>
      <c r="O64" s="38">
        <v>7574</v>
      </c>
      <c r="P64" s="38" t="s">
        <v>1087</v>
      </c>
      <c r="Q64" s="38" t="s">
        <v>1310</v>
      </c>
      <c r="R64" s="80" t="s">
        <v>1230</v>
      </c>
      <c r="S64" s="80">
        <v>1</v>
      </c>
      <c r="T64" s="80">
        <v>38</v>
      </c>
      <c r="U64" s="38">
        <v>1000</v>
      </c>
      <c r="V64" s="38" t="s">
        <v>1110</v>
      </c>
      <c r="W64" s="70" t="s">
        <v>510</v>
      </c>
      <c r="X64" s="38" t="s">
        <v>18</v>
      </c>
      <c r="Y64" s="38" t="s">
        <v>524</v>
      </c>
      <c r="Z64" s="251">
        <v>5869</v>
      </c>
      <c r="AA64" s="251" t="s">
        <v>1178</v>
      </c>
      <c r="AB64" s="251">
        <v>145</v>
      </c>
      <c r="AC64" s="251" t="s">
        <v>1465</v>
      </c>
      <c r="AD64" s="251" t="s">
        <v>1464</v>
      </c>
      <c r="AE64" s="183" t="s">
        <v>280</v>
      </c>
      <c r="AF64" s="340"/>
      <c r="AG64" s="86" t="s">
        <v>338</v>
      </c>
      <c r="AH64" s="86">
        <v>44950</v>
      </c>
    </row>
    <row r="65" spans="1:34" hidden="1" x14ac:dyDescent="0.25">
      <c r="A65" s="99">
        <v>44741</v>
      </c>
      <c r="B65" s="99">
        <v>45838</v>
      </c>
      <c r="C65" s="103">
        <f t="shared" ca="1" si="6"/>
        <v>2</v>
      </c>
      <c r="D65" s="38" t="s">
        <v>1219</v>
      </c>
      <c r="E65" s="74" t="s">
        <v>1220</v>
      </c>
      <c r="F65" s="38" t="s">
        <v>1289</v>
      </c>
      <c r="G65" s="38" t="s">
        <v>1328</v>
      </c>
      <c r="H65" s="38" t="s">
        <v>717</v>
      </c>
      <c r="I65" s="38">
        <v>8</v>
      </c>
      <c r="J65" s="38" t="s">
        <v>943</v>
      </c>
      <c r="K65" s="74" t="s">
        <v>1331</v>
      </c>
      <c r="L65" s="75" t="s">
        <v>578</v>
      </c>
      <c r="M65" s="74" t="s">
        <v>1264</v>
      </c>
      <c r="N65" s="38" t="s">
        <v>272</v>
      </c>
      <c r="O65" s="38">
        <v>1410</v>
      </c>
      <c r="P65" s="87" t="s">
        <v>998</v>
      </c>
      <c r="Q65" s="38" t="s">
        <v>1311</v>
      </c>
      <c r="R65" s="80" t="s">
        <v>1231</v>
      </c>
      <c r="S65" s="38">
        <v>1</v>
      </c>
      <c r="T65" s="38">
        <v>21</v>
      </c>
      <c r="U65" s="38">
        <v>1000</v>
      </c>
      <c r="V65" s="38" t="s">
        <v>1098</v>
      </c>
      <c r="W65" s="70" t="s">
        <v>999</v>
      </c>
      <c r="X65" s="38" t="s">
        <v>18</v>
      </c>
      <c r="Y65" s="38" t="s">
        <v>996</v>
      </c>
      <c r="Z65" s="251">
        <v>5867</v>
      </c>
      <c r="AA65" s="251" t="s">
        <v>1160</v>
      </c>
      <c r="AB65" s="251">
        <v>136</v>
      </c>
      <c r="AC65" s="251" t="s">
        <v>1422</v>
      </c>
      <c r="AD65" s="251" t="s">
        <v>1421</v>
      </c>
      <c r="AE65" s="184" t="s">
        <v>997</v>
      </c>
      <c r="AF65" s="340"/>
      <c r="AG65" s="86" t="s">
        <v>338</v>
      </c>
      <c r="AH65" s="86">
        <v>44914</v>
      </c>
    </row>
    <row r="66" spans="1:34" hidden="1" x14ac:dyDescent="0.25">
      <c r="A66" s="99">
        <v>44741</v>
      </c>
      <c r="B66" s="99">
        <v>45838</v>
      </c>
      <c r="C66" s="103">
        <f t="shared" ca="1" si="6"/>
        <v>2</v>
      </c>
      <c r="D66" s="38" t="s">
        <v>1219</v>
      </c>
      <c r="E66" s="74" t="s">
        <v>1220</v>
      </c>
      <c r="F66" s="38" t="s">
        <v>1290</v>
      </c>
      <c r="G66" s="38" t="s">
        <v>1329</v>
      </c>
      <c r="H66" s="38" t="s">
        <v>717</v>
      </c>
      <c r="I66" s="38">
        <v>8</v>
      </c>
      <c r="J66" s="38" t="s">
        <v>943</v>
      </c>
      <c r="K66" s="74" t="s">
        <v>1330</v>
      </c>
      <c r="L66" s="75" t="s">
        <v>578</v>
      </c>
      <c r="M66" s="74" t="s">
        <v>1265</v>
      </c>
      <c r="N66" s="38" t="s">
        <v>272</v>
      </c>
      <c r="O66" s="38" t="s">
        <v>949</v>
      </c>
      <c r="P66" s="86" t="s">
        <v>912</v>
      </c>
      <c r="Q66" s="38" t="s">
        <v>1312</v>
      </c>
      <c r="R66" s="80" t="s">
        <v>1232</v>
      </c>
      <c r="S66" s="80">
        <v>1</v>
      </c>
      <c r="T66" s="80">
        <v>42</v>
      </c>
      <c r="U66" s="38">
        <v>1000</v>
      </c>
      <c r="V66" s="38" t="s">
        <v>1113</v>
      </c>
      <c r="W66" s="70" t="s">
        <v>137</v>
      </c>
      <c r="X66" s="38" t="s">
        <v>18</v>
      </c>
      <c r="Y66" s="38" t="s">
        <v>520</v>
      </c>
      <c r="Z66" s="251">
        <v>5814</v>
      </c>
      <c r="AA66" s="251" t="s">
        <v>1183</v>
      </c>
      <c r="AB66" s="251">
        <v>100</v>
      </c>
      <c r="AC66" s="251" t="s">
        <v>1413</v>
      </c>
      <c r="AD66" s="251" t="s">
        <v>1415</v>
      </c>
      <c r="AE66" s="184" t="s">
        <v>320</v>
      </c>
      <c r="AF66" s="340"/>
      <c r="AG66" s="86" t="s">
        <v>338</v>
      </c>
      <c r="AH66" s="86">
        <v>44950</v>
      </c>
    </row>
    <row r="67" spans="1:34" hidden="1" x14ac:dyDescent="0.25">
      <c r="A67" s="99">
        <v>44741</v>
      </c>
      <c r="B67" s="99">
        <v>45838</v>
      </c>
      <c r="C67" s="103">
        <f t="shared" ca="1" si="6"/>
        <v>2</v>
      </c>
      <c r="D67" s="38" t="s">
        <v>1219</v>
      </c>
      <c r="E67" s="74" t="s">
        <v>1220</v>
      </c>
      <c r="F67" s="38" t="s">
        <v>1291</v>
      </c>
      <c r="G67" s="38" t="s">
        <v>1333</v>
      </c>
      <c r="H67" s="38" t="s">
        <v>717</v>
      </c>
      <c r="I67" s="38">
        <v>8</v>
      </c>
      <c r="J67" s="38" t="s">
        <v>943</v>
      </c>
      <c r="K67" s="74" t="s">
        <v>1335</v>
      </c>
      <c r="L67" s="75" t="s">
        <v>578</v>
      </c>
      <c r="M67" s="74" t="s">
        <v>1266</v>
      </c>
      <c r="N67" s="38" t="s">
        <v>272</v>
      </c>
      <c r="O67" s="38">
        <v>1533</v>
      </c>
      <c r="P67" s="86" t="s">
        <v>965</v>
      </c>
      <c r="Q67" s="38" t="s">
        <v>1313</v>
      </c>
      <c r="R67" s="80" t="s">
        <v>1233</v>
      </c>
      <c r="S67" s="80">
        <v>1</v>
      </c>
      <c r="T67" s="80">
        <v>19</v>
      </c>
      <c r="U67" s="38">
        <v>1000</v>
      </c>
      <c r="V67" s="38" t="s">
        <v>1095</v>
      </c>
      <c r="W67" s="70" t="s">
        <v>963</v>
      </c>
      <c r="X67" s="38" t="s">
        <v>18</v>
      </c>
      <c r="Y67" s="38" t="s">
        <v>964</v>
      </c>
      <c r="Z67" s="251">
        <v>5847</v>
      </c>
      <c r="AA67" s="251" t="s">
        <v>1154</v>
      </c>
      <c r="AB67" s="251">
        <v>147</v>
      </c>
      <c r="AC67" s="251" t="s">
        <v>1424</v>
      </c>
      <c r="AD67" s="251" t="s">
        <v>1423</v>
      </c>
      <c r="AE67" s="184" t="s">
        <v>443</v>
      </c>
      <c r="AF67" s="340"/>
      <c r="AG67" s="86" t="s">
        <v>338</v>
      </c>
      <c r="AH67" s="86">
        <v>44914</v>
      </c>
    </row>
    <row r="68" spans="1:34" hidden="1" x14ac:dyDescent="0.25">
      <c r="A68" s="99">
        <v>44741</v>
      </c>
      <c r="B68" s="99">
        <v>45838</v>
      </c>
      <c r="C68" s="103">
        <f t="shared" ca="1" si="6"/>
        <v>2</v>
      </c>
      <c r="D68" s="38" t="s">
        <v>1219</v>
      </c>
      <c r="E68" s="74" t="s">
        <v>1220</v>
      </c>
      <c r="F68" s="38" t="s">
        <v>1292</v>
      </c>
      <c r="G68" s="38" t="s">
        <v>1332</v>
      </c>
      <c r="H68" s="38" t="s">
        <v>717</v>
      </c>
      <c r="I68" s="38">
        <v>8</v>
      </c>
      <c r="J68" s="38" t="s">
        <v>943</v>
      </c>
      <c r="K68" s="74" t="s">
        <v>1334</v>
      </c>
      <c r="L68" s="75" t="s">
        <v>578</v>
      </c>
      <c r="M68" s="74" t="s">
        <v>1267</v>
      </c>
      <c r="N68" s="38" t="s">
        <v>272</v>
      </c>
      <c r="O68" s="38" t="s">
        <v>951</v>
      </c>
      <c r="P68" s="86" t="s">
        <v>909</v>
      </c>
      <c r="Q68" s="38" t="s">
        <v>1314</v>
      </c>
      <c r="R68" s="80" t="s">
        <v>1234</v>
      </c>
      <c r="S68" s="80">
        <v>1</v>
      </c>
      <c r="T68" s="80">
        <v>14</v>
      </c>
      <c r="U68" s="38">
        <v>1000</v>
      </c>
      <c r="V68" s="38" t="s">
        <v>1093</v>
      </c>
      <c r="W68" s="70" t="s">
        <v>244</v>
      </c>
      <c r="X68" s="38" t="s">
        <v>18</v>
      </c>
      <c r="Y68" s="38">
        <v>5825</v>
      </c>
      <c r="Z68" s="251">
        <v>5825</v>
      </c>
      <c r="AA68" s="251" t="s">
        <v>1150</v>
      </c>
      <c r="AB68" s="251">
        <v>149</v>
      </c>
      <c r="AC68" s="251" t="s">
        <v>1463</v>
      </c>
      <c r="AD68" s="251" t="s">
        <v>1462</v>
      </c>
      <c r="AE68" s="184" t="s">
        <v>316</v>
      </c>
      <c r="AF68" s="340"/>
      <c r="AG68" s="86" t="s">
        <v>338</v>
      </c>
      <c r="AH68" s="86">
        <v>44914</v>
      </c>
    </row>
    <row r="69" spans="1:34" hidden="1" x14ac:dyDescent="0.25">
      <c r="A69" s="99">
        <v>44741</v>
      </c>
      <c r="B69" s="99">
        <v>45838</v>
      </c>
      <c r="C69" s="103">
        <f t="shared" ca="1" si="6"/>
        <v>2</v>
      </c>
      <c r="D69" s="38" t="s">
        <v>1219</v>
      </c>
      <c r="E69" s="74" t="s">
        <v>1220</v>
      </c>
      <c r="F69" s="38" t="s">
        <v>1293</v>
      </c>
      <c r="G69" s="38" t="s">
        <v>1336</v>
      </c>
      <c r="H69" s="38" t="s">
        <v>717</v>
      </c>
      <c r="I69" s="38">
        <v>8</v>
      </c>
      <c r="J69" s="38" t="s">
        <v>943</v>
      </c>
      <c r="K69" s="74" t="s">
        <v>1337</v>
      </c>
      <c r="L69" s="75" t="s">
        <v>578</v>
      </c>
      <c r="M69" s="74" t="s">
        <v>1268</v>
      </c>
      <c r="N69" s="38" t="s">
        <v>272</v>
      </c>
      <c r="O69" s="87" t="s">
        <v>1031</v>
      </c>
      <c r="P69" s="87" t="s">
        <v>1030</v>
      </c>
      <c r="Q69" s="38" t="s">
        <v>1338</v>
      </c>
      <c r="R69" s="80" t="s">
        <v>1235</v>
      </c>
      <c r="S69" s="80">
        <v>1</v>
      </c>
      <c r="T69" s="80">
        <v>8</v>
      </c>
      <c r="U69" s="38">
        <v>1000</v>
      </c>
      <c r="V69" s="38" t="s">
        <v>1090</v>
      </c>
      <c r="W69" s="70" t="s">
        <v>1028</v>
      </c>
      <c r="X69" s="38" t="s">
        <v>49</v>
      </c>
      <c r="Y69" s="38">
        <v>5858</v>
      </c>
      <c r="Z69" s="251">
        <v>5858</v>
      </c>
      <c r="AA69" s="251" t="s">
        <v>1143</v>
      </c>
      <c r="AB69" s="251">
        <v>88</v>
      </c>
      <c r="AC69" s="251" t="s">
        <v>1453</v>
      </c>
      <c r="AD69" s="251" t="s">
        <v>1452</v>
      </c>
      <c r="AE69" s="184" t="s">
        <v>1029</v>
      </c>
      <c r="AF69" s="340"/>
      <c r="AG69" s="86" t="s">
        <v>338</v>
      </c>
      <c r="AH69" s="86">
        <v>44914</v>
      </c>
    </row>
    <row r="70" spans="1:34" hidden="1" x14ac:dyDescent="0.25">
      <c r="A70" s="448" t="s">
        <v>204</v>
      </c>
      <c r="B70" s="448"/>
      <c r="C70" s="448"/>
      <c r="D70" s="448"/>
      <c r="E70" s="448"/>
      <c r="F70" s="448"/>
      <c r="G70" s="448"/>
      <c r="H70" s="448"/>
      <c r="I70" s="448"/>
      <c r="J70" s="448"/>
      <c r="K70" s="448"/>
      <c r="L70" s="448"/>
      <c r="M70" s="448"/>
      <c r="N70" s="448"/>
      <c r="O70" s="448"/>
      <c r="P70" s="448"/>
      <c r="Q70" s="448"/>
      <c r="R70" s="448"/>
      <c r="S70" s="448"/>
      <c r="T70" s="448"/>
      <c r="U70" s="448"/>
      <c r="V70" s="448"/>
      <c r="W70" s="448"/>
      <c r="X70" s="448"/>
      <c r="Y70" s="448"/>
      <c r="Z70" s="448"/>
      <c r="AA70" s="448"/>
      <c r="AB70" s="448"/>
      <c r="AC70" s="448"/>
      <c r="AD70" s="448"/>
      <c r="AE70" s="448"/>
      <c r="AF70" s="448"/>
      <c r="AG70" s="344"/>
      <c r="AH70" s="345"/>
    </row>
    <row r="71" spans="1:34" hidden="1" x14ac:dyDescent="0.25">
      <c r="A71" s="15" t="s">
        <v>800</v>
      </c>
      <c r="B71" s="15" t="s">
        <v>799</v>
      </c>
      <c r="C71" s="15" t="s">
        <v>802</v>
      </c>
      <c r="D71" s="15" t="s">
        <v>2</v>
      </c>
      <c r="E71" s="36" t="s">
        <v>813</v>
      </c>
      <c r="F71" s="15" t="s">
        <v>7</v>
      </c>
      <c r="G71" s="36" t="s">
        <v>235</v>
      </c>
      <c r="H71" s="15" t="s">
        <v>86</v>
      </c>
      <c r="I71" s="36" t="s">
        <v>15</v>
      </c>
      <c r="J71" s="15" t="s">
        <v>6</v>
      </c>
      <c r="K71" s="36" t="s">
        <v>575</v>
      </c>
      <c r="L71" s="36" t="s">
        <v>368</v>
      </c>
      <c r="M71" s="36" t="s">
        <v>574</v>
      </c>
      <c r="N71" s="15" t="s">
        <v>333</v>
      </c>
      <c r="O71" s="36" t="s">
        <v>945</v>
      </c>
      <c r="P71" s="15" t="s">
        <v>907</v>
      </c>
      <c r="Q71" s="15" t="s">
        <v>3</v>
      </c>
      <c r="R71" s="15" t="s">
        <v>5</v>
      </c>
      <c r="S71" s="36" t="s">
        <v>835</v>
      </c>
      <c r="T71" s="36" t="s">
        <v>538</v>
      </c>
      <c r="U71" s="36" t="s">
        <v>968</v>
      </c>
      <c r="V71" s="15" t="s">
        <v>1416</v>
      </c>
      <c r="W71" s="15" t="s">
        <v>906</v>
      </c>
      <c r="X71" s="15" t="s">
        <v>13</v>
      </c>
      <c r="Y71" s="15" t="s">
        <v>514</v>
      </c>
      <c r="Z71" s="249" t="s">
        <v>514</v>
      </c>
      <c r="AA71" s="249" t="s">
        <v>1416</v>
      </c>
      <c r="AB71" s="249" t="s">
        <v>5</v>
      </c>
      <c r="AC71" s="249" t="s">
        <v>1545</v>
      </c>
      <c r="AD71" s="250" t="s">
        <v>1403</v>
      </c>
      <c r="AE71" s="15" t="s">
        <v>232</v>
      </c>
      <c r="AF71" s="335" t="s">
        <v>366</v>
      </c>
      <c r="AG71" s="15"/>
      <c r="AH71" s="346"/>
    </row>
    <row r="72" spans="1:34" hidden="1" x14ac:dyDescent="0.25">
      <c r="A72" s="99">
        <v>43911</v>
      </c>
      <c r="B72" s="99">
        <v>45007</v>
      </c>
      <c r="C72" s="103">
        <f t="shared" ref="C72:C81" ca="1" si="7">(YEAR(NOW())-YEAR(A72))</f>
        <v>4</v>
      </c>
      <c r="D72" s="38" t="s">
        <v>289</v>
      </c>
      <c r="E72" s="74" t="s">
        <v>820</v>
      </c>
      <c r="F72" s="38" t="s">
        <v>295</v>
      </c>
      <c r="G72" s="38" t="s">
        <v>297</v>
      </c>
      <c r="H72" s="70" t="s">
        <v>714</v>
      </c>
      <c r="I72" s="38">
        <v>8</v>
      </c>
      <c r="J72" s="38" t="s">
        <v>943</v>
      </c>
      <c r="K72" s="74" t="s">
        <v>580</v>
      </c>
      <c r="L72" s="38" t="s">
        <v>578</v>
      </c>
      <c r="M72" s="74" t="s">
        <v>579</v>
      </c>
      <c r="N72" s="38" t="s">
        <v>272</v>
      </c>
      <c r="O72" s="38" t="s">
        <v>1356</v>
      </c>
      <c r="P72" s="38" t="s">
        <v>924</v>
      </c>
      <c r="Q72" s="38" t="s">
        <v>581</v>
      </c>
      <c r="R72" s="80">
        <v>192168254191</v>
      </c>
      <c r="S72" s="80"/>
      <c r="T72" s="80"/>
      <c r="U72" s="38">
        <v>1000</v>
      </c>
      <c r="V72" s="38" t="s">
        <v>1524</v>
      </c>
      <c r="W72" s="70" t="s">
        <v>1726</v>
      </c>
      <c r="X72" s="38" t="s">
        <v>172</v>
      </c>
      <c r="Y72" s="38">
        <v>5870</v>
      </c>
      <c r="Z72" s="251">
        <v>5870</v>
      </c>
      <c r="AA72" s="251" t="s">
        <v>1212</v>
      </c>
      <c r="AB72" s="251">
        <v>127</v>
      </c>
      <c r="AC72" s="251" t="s">
        <v>1461</v>
      </c>
      <c r="AD72" s="251"/>
      <c r="AE72" s="92" t="s">
        <v>809</v>
      </c>
      <c r="AF72" s="340"/>
      <c r="AG72" s="86" t="s">
        <v>1626</v>
      </c>
      <c r="AH72" s="86"/>
    </row>
    <row r="73" spans="1:34" hidden="1" x14ac:dyDescent="0.25">
      <c r="A73" s="99">
        <v>45321</v>
      </c>
      <c r="B73" s="99">
        <v>46052</v>
      </c>
      <c r="C73" s="103">
        <v>0</v>
      </c>
      <c r="D73" s="38" t="s">
        <v>1727</v>
      </c>
      <c r="E73" s="74" t="s">
        <v>1728</v>
      </c>
      <c r="F73" s="38"/>
      <c r="G73" s="38"/>
      <c r="H73" s="70" t="s">
        <v>1729</v>
      </c>
      <c r="I73" s="38">
        <v>16</v>
      </c>
      <c r="J73" s="38" t="s">
        <v>943</v>
      </c>
      <c r="K73" s="74"/>
      <c r="L73" s="38" t="s">
        <v>578</v>
      </c>
      <c r="M73" s="74" t="s">
        <v>579</v>
      </c>
      <c r="N73" s="38" t="s">
        <v>272</v>
      </c>
      <c r="O73" s="430" t="s">
        <v>1731</v>
      </c>
      <c r="P73" s="38" t="s">
        <v>924</v>
      </c>
      <c r="Q73" s="38" t="s">
        <v>1730</v>
      </c>
      <c r="R73" s="80">
        <v>192168254153</v>
      </c>
      <c r="S73" s="80"/>
      <c r="T73" s="80"/>
      <c r="U73" s="38">
        <v>1000</v>
      </c>
      <c r="V73" s="38" t="s">
        <v>1524</v>
      </c>
      <c r="W73" s="70" t="s">
        <v>511</v>
      </c>
      <c r="X73" s="38"/>
      <c r="Y73" s="38">
        <v>5870</v>
      </c>
      <c r="Z73" s="251">
        <v>5870</v>
      </c>
      <c r="AA73" s="251" t="s">
        <v>1212</v>
      </c>
      <c r="AB73" s="251">
        <v>153</v>
      </c>
      <c r="AC73" s="251"/>
      <c r="AD73" s="251"/>
      <c r="AE73" s="92" t="s">
        <v>809</v>
      </c>
      <c r="AF73" s="340"/>
      <c r="AG73" s="86" t="s">
        <v>338</v>
      </c>
      <c r="AH73" s="86"/>
    </row>
    <row r="74" spans="1:34" hidden="1" x14ac:dyDescent="0.25">
      <c r="A74" s="99">
        <v>40669</v>
      </c>
      <c r="B74" s="99">
        <v>41036</v>
      </c>
      <c r="C74" s="103">
        <f t="shared" ca="1" si="7"/>
        <v>13</v>
      </c>
      <c r="D74" s="38" t="s">
        <v>1516</v>
      </c>
      <c r="E74" s="74" t="s">
        <v>1520</v>
      </c>
      <c r="F74" s="38" t="s">
        <v>1518</v>
      </c>
      <c r="G74" s="38" t="s">
        <v>1517</v>
      </c>
      <c r="H74" s="70" t="s">
        <v>1251</v>
      </c>
      <c r="I74" s="38">
        <v>4</v>
      </c>
      <c r="J74" s="38" t="s">
        <v>943</v>
      </c>
      <c r="K74" s="74" t="s">
        <v>974</v>
      </c>
      <c r="L74" s="38" t="s">
        <v>533</v>
      </c>
      <c r="M74" s="74" t="s">
        <v>669</v>
      </c>
      <c r="N74" s="86" t="s">
        <v>272</v>
      </c>
      <c r="O74" s="38">
        <v>5880</v>
      </c>
      <c r="P74" s="38" t="s">
        <v>922</v>
      </c>
      <c r="Q74" s="38" t="s">
        <v>178</v>
      </c>
      <c r="R74" s="84" t="s">
        <v>1521</v>
      </c>
      <c r="S74" s="80"/>
      <c r="T74" s="80"/>
      <c r="U74" s="38">
        <v>1000</v>
      </c>
      <c r="V74" s="38" t="s">
        <v>1525</v>
      </c>
      <c r="W74" s="70" t="s">
        <v>171</v>
      </c>
      <c r="X74" s="38" t="s">
        <v>172</v>
      </c>
      <c r="Y74" s="38">
        <v>5881</v>
      </c>
      <c r="Z74" s="251">
        <v>5881</v>
      </c>
      <c r="AA74" s="251" t="s">
        <v>1213</v>
      </c>
      <c r="AB74" s="251">
        <v>144</v>
      </c>
      <c r="AC74" s="251" t="s">
        <v>1523</v>
      </c>
      <c r="AD74" s="251" t="s">
        <v>1522</v>
      </c>
      <c r="AE74" s="183" t="s">
        <v>284</v>
      </c>
      <c r="AF74" s="340"/>
      <c r="AG74" s="86" t="s">
        <v>338</v>
      </c>
      <c r="AH74" s="86"/>
    </row>
    <row r="75" spans="1:34" hidden="1" x14ac:dyDescent="0.25">
      <c r="A75" s="99">
        <v>42548</v>
      </c>
      <c r="B75" s="99">
        <v>43004</v>
      </c>
      <c r="C75" s="103">
        <f t="shared" ca="1" si="7"/>
        <v>8</v>
      </c>
      <c r="D75" s="38" t="s">
        <v>136</v>
      </c>
      <c r="E75" s="74" t="s">
        <v>819</v>
      </c>
      <c r="F75" s="38" t="s">
        <v>133</v>
      </c>
      <c r="G75" s="38" t="s">
        <v>262</v>
      </c>
      <c r="H75" s="70" t="s">
        <v>713</v>
      </c>
      <c r="I75" s="38">
        <v>4</v>
      </c>
      <c r="J75" s="38" t="s">
        <v>11</v>
      </c>
      <c r="K75" s="74" t="s">
        <v>668</v>
      </c>
      <c r="L75" s="38" t="s">
        <v>506</v>
      </c>
      <c r="M75" s="74" t="s">
        <v>611</v>
      </c>
      <c r="N75" s="86" t="s">
        <v>272</v>
      </c>
      <c r="O75" s="38">
        <v>5840</v>
      </c>
      <c r="P75" s="86" t="s">
        <v>923</v>
      </c>
      <c r="Q75" s="38" t="s">
        <v>181</v>
      </c>
      <c r="R75" s="84">
        <v>192168254230</v>
      </c>
      <c r="S75" s="38"/>
      <c r="T75" s="38"/>
      <c r="U75" s="38">
        <v>1000</v>
      </c>
      <c r="V75" s="38" t="s">
        <v>1526</v>
      </c>
      <c r="W75" s="70" t="s">
        <v>179</v>
      </c>
      <c r="X75" s="38" t="s">
        <v>172</v>
      </c>
      <c r="Y75" s="38">
        <v>5840</v>
      </c>
      <c r="Z75" s="251">
        <v>5840</v>
      </c>
      <c r="AA75" s="251" t="s">
        <v>1214</v>
      </c>
      <c r="AB75" s="251">
        <v>29</v>
      </c>
      <c r="AC75" s="251" t="s">
        <v>1457</v>
      </c>
      <c r="AD75" s="251" t="s">
        <v>1456</v>
      </c>
      <c r="AE75" s="183" t="s">
        <v>361</v>
      </c>
      <c r="AF75" s="340"/>
      <c r="AG75" s="86" t="s">
        <v>338</v>
      </c>
      <c r="AH75" s="86"/>
    </row>
    <row r="76" spans="1:34" x14ac:dyDescent="0.25">
      <c r="A76" s="99">
        <v>41369</v>
      </c>
      <c r="B76" s="99">
        <v>42466</v>
      </c>
      <c r="C76" s="103">
        <f t="shared" ca="1" si="7"/>
        <v>11</v>
      </c>
      <c r="D76" s="38" t="s">
        <v>59</v>
      </c>
      <c r="E76" s="74" t="s">
        <v>816</v>
      </c>
      <c r="F76" s="38" t="s">
        <v>193</v>
      </c>
      <c r="G76" s="38" t="s">
        <v>781</v>
      </c>
      <c r="H76" s="70" t="s">
        <v>712</v>
      </c>
      <c r="I76" s="38">
        <v>4</v>
      </c>
      <c r="J76" s="38" t="s">
        <v>19</v>
      </c>
      <c r="K76" s="74" t="s">
        <v>782</v>
      </c>
      <c r="L76" s="38" t="s">
        <v>502</v>
      </c>
      <c r="M76" s="77" t="s">
        <v>615</v>
      </c>
      <c r="N76" s="38" t="s">
        <v>272</v>
      </c>
      <c r="O76" s="38">
        <v>1048</v>
      </c>
      <c r="P76" s="38" t="s">
        <v>1694</v>
      </c>
      <c r="Q76" s="38" t="s">
        <v>39</v>
      </c>
      <c r="R76" s="38" t="s">
        <v>40</v>
      </c>
      <c r="S76" s="38"/>
      <c r="T76" s="38"/>
      <c r="U76" s="38">
        <v>1000</v>
      </c>
      <c r="V76" s="38" t="s">
        <v>1128</v>
      </c>
      <c r="W76" s="70" t="s">
        <v>1696</v>
      </c>
      <c r="X76" s="38" t="s">
        <v>185</v>
      </c>
      <c r="Y76" s="87">
        <v>5887</v>
      </c>
      <c r="Z76" s="255">
        <v>5887</v>
      </c>
      <c r="AA76" s="255" t="s">
        <v>1201</v>
      </c>
      <c r="AB76" s="255">
        <v>183</v>
      </c>
      <c r="AC76" s="255" t="s">
        <v>1508</v>
      </c>
      <c r="AD76" s="255"/>
      <c r="AE76" s="417" t="s">
        <v>1692</v>
      </c>
      <c r="AF76" s="340"/>
      <c r="AG76" s="86" t="s">
        <v>1626</v>
      </c>
      <c r="AH76" s="86">
        <v>44886</v>
      </c>
    </row>
    <row r="77" spans="1:34" x14ac:dyDescent="0.25">
      <c r="A77" s="99">
        <v>44271</v>
      </c>
      <c r="B77" s="99">
        <v>45368</v>
      </c>
      <c r="C77" s="101">
        <f t="shared" ca="1" si="7"/>
        <v>3</v>
      </c>
      <c r="D77" s="38" t="s">
        <v>346</v>
      </c>
      <c r="E77" s="74" t="s">
        <v>830</v>
      </c>
      <c r="F77" s="38" t="s">
        <v>373</v>
      </c>
      <c r="G77" s="38" t="s">
        <v>372</v>
      </c>
      <c r="H77" s="70" t="s">
        <v>717</v>
      </c>
      <c r="I77" s="38">
        <v>8</v>
      </c>
      <c r="J77" s="38" t="s">
        <v>943</v>
      </c>
      <c r="K77" s="74" t="s">
        <v>672</v>
      </c>
      <c r="L77" s="38" t="s">
        <v>530</v>
      </c>
      <c r="M77" s="74" t="s">
        <v>733</v>
      </c>
      <c r="N77" s="38" t="s">
        <v>272</v>
      </c>
      <c r="O77" s="82">
        <v>1048</v>
      </c>
      <c r="P77" s="38" t="s">
        <v>1694</v>
      </c>
      <c r="Q77" s="38" t="s">
        <v>1703</v>
      </c>
      <c r="R77" s="80" t="s">
        <v>40</v>
      </c>
      <c r="S77" s="80"/>
      <c r="T77" s="80"/>
      <c r="U77" s="38">
        <v>1000</v>
      </c>
      <c r="V77" s="38"/>
      <c r="W77" s="70" t="s">
        <v>1696</v>
      </c>
      <c r="X77" s="38" t="s">
        <v>185</v>
      </c>
      <c r="Y77" s="87">
        <v>5887</v>
      </c>
      <c r="Z77" s="255">
        <v>5887</v>
      </c>
      <c r="AA77" s="255" t="s">
        <v>1202</v>
      </c>
      <c r="AB77" s="255">
        <v>59</v>
      </c>
      <c r="AC77" s="253" t="s">
        <v>1549</v>
      </c>
      <c r="AD77" s="257"/>
      <c r="AE77" s="417" t="s">
        <v>1692</v>
      </c>
      <c r="AF77" s="100"/>
      <c r="AG77" s="156" t="s">
        <v>338</v>
      </c>
      <c r="AH77" s="333">
        <f ca="1">TODAY()</f>
        <v>45518</v>
      </c>
    </row>
    <row r="78" spans="1:34" hidden="1" x14ac:dyDescent="0.25">
      <c r="A78" s="99">
        <v>43560</v>
      </c>
      <c r="B78" s="99">
        <v>43926</v>
      </c>
      <c r="C78" s="103">
        <f t="shared" ca="1" si="7"/>
        <v>5</v>
      </c>
      <c r="D78" s="38" t="s">
        <v>207</v>
      </c>
      <c r="E78" s="74" t="s">
        <v>817</v>
      </c>
      <c r="F78" s="38" t="s">
        <v>209</v>
      </c>
      <c r="G78" s="38" t="s">
        <v>789</v>
      </c>
      <c r="H78" s="70" t="s">
        <v>1251</v>
      </c>
      <c r="I78" s="38">
        <v>8</v>
      </c>
      <c r="J78" s="38" t="s">
        <v>943</v>
      </c>
      <c r="K78" s="74" t="s">
        <v>1357</v>
      </c>
      <c r="L78" s="75" t="s">
        <v>502</v>
      </c>
      <c r="M78" s="77" t="s">
        <v>669</v>
      </c>
      <c r="N78" s="38" t="s">
        <v>272</v>
      </c>
      <c r="O78" s="38">
        <v>3620</v>
      </c>
      <c r="P78" s="38" t="s">
        <v>1716</v>
      </c>
      <c r="Q78" s="38" t="s">
        <v>1711</v>
      </c>
      <c r="R78" s="80">
        <v>192168254156</v>
      </c>
      <c r="S78" s="80"/>
      <c r="T78" s="80"/>
      <c r="U78" s="38">
        <v>1000</v>
      </c>
      <c r="V78" s="38" t="s">
        <v>1133</v>
      </c>
      <c r="W78" s="70" t="s">
        <v>1715</v>
      </c>
      <c r="X78" s="38" t="s">
        <v>18</v>
      </c>
      <c r="Y78" s="87">
        <v>5851</v>
      </c>
      <c r="Z78" s="255">
        <v>5851</v>
      </c>
      <c r="AA78" s="255" t="s">
        <v>1206</v>
      </c>
      <c r="AB78" s="255">
        <v>156</v>
      </c>
      <c r="AC78" s="255" t="s">
        <v>1509</v>
      </c>
      <c r="AD78" s="255"/>
      <c r="AE78" s="417" t="s">
        <v>1713</v>
      </c>
      <c r="AF78" s="421"/>
      <c r="AG78" s="86" t="s">
        <v>1626</v>
      </c>
      <c r="AH78" s="86"/>
    </row>
    <row r="79" spans="1:34" hidden="1" x14ac:dyDescent="0.25">
      <c r="A79" s="99">
        <v>43560</v>
      </c>
      <c r="B79" s="99">
        <v>43926</v>
      </c>
      <c r="C79" s="103">
        <f t="shared" ca="1" si="7"/>
        <v>5</v>
      </c>
      <c r="D79" s="38" t="s">
        <v>207</v>
      </c>
      <c r="E79" s="74" t="s">
        <v>817</v>
      </c>
      <c r="F79" s="38" t="s">
        <v>213</v>
      </c>
      <c r="G79" s="38" t="s">
        <v>1478</v>
      </c>
      <c r="H79" s="70" t="s">
        <v>1251</v>
      </c>
      <c r="I79" s="38">
        <v>8</v>
      </c>
      <c r="J79" s="38" t="s">
        <v>943</v>
      </c>
      <c r="K79" s="74" t="s">
        <v>1477</v>
      </c>
      <c r="L79" s="38" t="s">
        <v>530</v>
      </c>
      <c r="M79" s="74" t="s">
        <v>597</v>
      </c>
      <c r="N79" s="38" t="s">
        <v>272</v>
      </c>
      <c r="O79" s="38">
        <v>1125</v>
      </c>
      <c r="P79" s="38" t="s">
        <v>927</v>
      </c>
      <c r="Q79" s="38" t="s">
        <v>92</v>
      </c>
      <c r="R79" s="80">
        <v>192168254177</v>
      </c>
      <c r="S79" s="80"/>
      <c r="T79" s="80"/>
      <c r="U79" s="38">
        <v>1000</v>
      </c>
      <c r="V79" s="38" t="s">
        <v>1132</v>
      </c>
      <c r="W79" s="70" t="s">
        <v>139</v>
      </c>
      <c r="X79" s="38" t="s">
        <v>93</v>
      </c>
      <c r="Y79" s="38" t="s">
        <v>526</v>
      </c>
      <c r="Z79" s="251">
        <v>5833</v>
      </c>
      <c r="AA79" s="251" t="s">
        <v>1205</v>
      </c>
      <c r="AB79" s="251">
        <v>182</v>
      </c>
      <c r="AC79" s="251" t="s">
        <v>1510</v>
      </c>
      <c r="AD79" s="251"/>
      <c r="AE79" s="183" t="s">
        <v>318</v>
      </c>
      <c r="AF79" s="340"/>
      <c r="AG79" s="86" t="s">
        <v>338</v>
      </c>
      <c r="AH79" s="86"/>
    </row>
    <row r="80" spans="1:34" hidden="1" x14ac:dyDescent="0.25">
      <c r="A80" s="99">
        <v>44804</v>
      </c>
      <c r="B80" s="99">
        <v>45901</v>
      </c>
      <c r="C80" s="103">
        <f ca="1">(YEAR(NOW())-YEAR(A80))</f>
        <v>2</v>
      </c>
      <c r="D80" s="38" t="s">
        <v>1219</v>
      </c>
      <c r="E80" s="74" t="s">
        <v>1220</v>
      </c>
      <c r="F80" s="38" t="s">
        <v>1495</v>
      </c>
      <c r="G80" s="38" t="s">
        <v>1497</v>
      </c>
      <c r="H80" s="38" t="s">
        <v>717</v>
      </c>
      <c r="I80" s="38">
        <v>8</v>
      </c>
      <c r="J80" s="38" t="s">
        <v>943</v>
      </c>
      <c r="K80" s="74" t="s">
        <v>1500</v>
      </c>
      <c r="L80" s="38" t="s">
        <v>530</v>
      </c>
      <c r="M80" s="74" t="s">
        <v>597</v>
      </c>
      <c r="N80" s="38" t="s">
        <v>272</v>
      </c>
      <c r="O80" s="38">
        <v>1125</v>
      </c>
      <c r="P80" s="38" t="s">
        <v>927</v>
      </c>
      <c r="Q80" s="38" t="s">
        <v>1638</v>
      </c>
      <c r="R80" s="80" t="s">
        <v>1491</v>
      </c>
      <c r="S80" s="80"/>
      <c r="T80" s="80"/>
      <c r="U80" s="38">
        <v>1000</v>
      </c>
      <c r="V80" s="38" t="s">
        <v>1132</v>
      </c>
      <c r="W80" s="70" t="s">
        <v>1687</v>
      </c>
      <c r="X80" s="38" t="s">
        <v>93</v>
      </c>
      <c r="Y80" s="38" t="s">
        <v>526</v>
      </c>
      <c r="Z80" s="251">
        <v>5833</v>
      </c>
      <c r="AA80" s="251" t="s">
        <v>1205</v>
      </c>
      <c r="AB80" s="251">
        <v>182</v>
      </c>
      <c r="AC80" s="251" t="s">
        <v>1510</v>
      </c>
      <c r="AD80" s="251"/>
      <c r="AE80" s="183" t="s">
        <v>318</v>
      </c>
      <c r="AF80" s="362" t="s">
        <v>1649</v>
      </c>
      <c r="AG80" s="86" t="s">
        <v>1648</v>
      </c>
      <c r="AH80" s="86"/>
    </row>
    <row r="81" spans="1:34" hidden="1" x14ac:dyDescent="0.25">
      <c r="A81" s="99">
        <v>45464</v>
      </c>
      <c r="B81" s="99">
        <v>45464</v>
      </c>
      <c r="C81" s="103">
        <f t="shared" ca="1" si="7"/>
        <v>0</v>
      </c>
      <c r="D81" s="38" t="s">
        <v>1742</v>
      </c>
      <c r="E81" s="74" t="s">
        <v>1743</v>
      </c>
      <c r="F81" s="38" t="s">
        <v>83</v>
      </c>
      <c r="G81" s="38" t="s">
        <v>1745</v>
      </c>
      <c r="H81" s="70" t="s">
        <v>1744</v>
      </c>
      <c r="I81" s="38">
        <v>16</v>
      </c>
      <c r="J81" s="38" t="s">
        <v>943</v>
      </c>
      <c r="K81" s="74" t="s">
        <v>742</v>
      </c>
      <c r="L81" s="75" t="s">
        <v>530</v>
      </c>
      <c r="M81" s="77" t="s">
        <v>731</v>
      </c>
      <c r="N81" s="86" t="s">
        <v>272</v>
      </c>
      <c r="O81" s="38">
        <v>1031</v>
      </c>
      <c r="P81" s="86" t="s">
        <v>1738</v>
      </c>
      <c r="Q81" s="38" t="s">
        <v>1739</v>
      </c>
      <c r="R81" s="80">
        <v>192168254165</v>
      </c>
      <c r="S81" s="80"/>
      <c r="T81" s="80"/>
      <c r="U81" s="38">
        <v>1000</v>
      </c>
      <c r="V81" s="38" t="s">
        <v>1131</v>
      </c>
      <c r="W81" s="70" t="s">
        <v>1737</v>
      </c>
      <c r="X81" s="38" t="s">
        <v>164</v>
      </c>
      <c r="Y81" s="38">
        <v>5885</v>
      </c>
      <c r="Z81" s="251">
        <v>5885</v>
      </c>
      <c r="AA81" s="251" t="s">
        <v>1204</v>
      </c>
      <c r="AB81" s="251">
        <v>131</v>
      </c>
      <c r="AC81" s="251" t="s">
        <v>1511</v>
      </c>
      <c r="AD81" s="251"/>
      <c r="AE81" s="417" t="s">
        <v>1740</v>
      </c>
      <c r="AF81" s="340"/>
      <c r="AG81" s="86" t="s">
        <v>338</v>
      </c>
      <c r="AH81" s="86">
        <v>45469</v>
      </c>
    </row>
    <row r="82" spans="1:34" hidden="1" x14ac:dyDescent="0.25">
      <c r="A82" s="351">
        <v>40507</v>
      </c>
      <c r="B82" s="351">
        <v>41604</v>
      </c>
      <c r="C82" s="370">
        <f t="shared" ref="C82:C88" ca="1" si="8">(YEAR(NOW())-YEAR(A82))</f>
        <v>14</v>
      </c>
      <c r="D82" s="251" t="s">
        <v>63</v>
      </c>
      <c r="E82" s="353" t="s">
        <v>818</v>
      </c>
      <c r="F82" s="251" t="s">
        <v>103</v>
      </c>
      <c r="G82" s="251" t="s">
        <v>268</v>
      </c>
      <c r="H82" s="354" t="s">
        <v>712</v>
      </c>
      <c r="I82" s="251">
        <v>6</v>
      </c>
      <c r="J82" s="251" t="s">
        <v>19</v>
      </c>
      <c r="K82" s="353"/>
      <c r="L82" s="251" t="s">
        <v>502</v>
      </c>
      <c r="M82" s="353"/>
      <c r="N82" s="356" t="s">
        <v>272</v>
      </c>
      <c r="O82" s="251">
        <v>1809</v>
      </c>
      <c r="P82" s="356" t="s">
        <v>930</v>
      </c>
      <c r="Q82" s="251" t="s">
        <v>314</v>
      </c>
      <c r="R82" s="357" t="s">
        <v>162</v>
      </c>
      <c r="S82" s="357"/>
      <c r="T82" s="357"/>
      <c r="U82" s="251">
        <v>1000</v>
      </c>
      <c r="V82" s="251" t="s">
        <v>1130</v>
      </c>
      <c r="W82" s="354" t="s">
        <v>337</v>
      </c>
      <c r="X82" s="251" t="s">
        <v>164</v>
      </c>
      <c r="Y82" s="251">
        <v>5836</v>
      </c>
      <c r="Z82" s="251">
        <v>5836</v>
      </c>
      <c r="AA82" s="251" t="s">
        <v>1203</v>
      </c>
      <c r="AB82" s="251">
        <v>184</v>
      </c>
      <c r="AC82" s="251" t="s">
        <v>1512</v>
      </c>
      <c r="AD82" s="251"/>
      <c r="AE82" s="360" t="s">
        <v>364</v>
      </c>
      <c r="AF82" s="363"/>
      <c r="AG82" s="356" t="s">
        <v>1626</v>
      </c>
      <c r="AH82" s="86">
        <v>44952</v>
      </c>
    </row>
    <row r="83" spans="1:34" hidden="1" x14ac:dyDescent="0.25">
      <c r="A83" s="99">
        <v>40507</v>
      </c>
      <c r="B83" s="99">
        <v>41604</v>
      </c>
      <c r="C83" s="103">
        <v>13</v>
      </c>
      <c r="D83" s="38" t="s">
        <v>63</v>
      </c>
      <c r="E83" s="74" t="s">
        <v>818</v>
      </c>
      <c r="F83" s="38" t="s">
        <v>103</v>
      </c>
      <c r="G83" s="38" t="s">
        <v>268</v>
      </c>
      <c r="H83" s="70" t="s">
        <v>712</v>
      </c>
      <c r="I83" s="38">
        <v>6</v>
      </c>
      <c r="J83" s="38" t="s">
        <v>19</v>
      </c>
      <c r="K83" s="74"/>
      <c r="L83" s="38" t="s">
        <v>502</v>
      </c>
      <c r="M83" s="74"/>
      <c r="N83" s="86" t="s">
        <v>272</v>
      </c>
      <c r="O83" s="38">
        <v>1809</v>
      </c>
      <c r="P83" s="86" t="s">
        <v>929</v>
      </c>
      <c r="Q83" s="38" t="s">
        <v>314</v>
      </c>
      <c r="R83" s="80" t="s">
        <v>162</v>
      </c>
      <c r="S83" s="80"/>
      <c r="T83" s="80"/>
      <c r="U83" s="38">
        <v>1000</v>
      </c>
      <c r="V83" s="38" t="s">
        <v>1130</v>
      </c>
      <c r="W83" s="70" t="s">
        <v>795</v>
      </c>
      <c r="X83" s="38" t="s">
        <v>164</v>
      </c>
      <c r="Y83" s="38">
        <v>5836</v>
      </c>
      <c r="Z83" s="183" t="s">
        <v>364</v>
      </c>
      <c r="AA83" s="340"/>
      <c r="AB83" s="86" t="s">
        <v>338</v>
      </c>
      <c r="AC83" s="86">
        <v>44952</v>
      </c>
      <c r="AE83" s="78" t="s">
        <v>1343</v>
      </c>
      <c r="AF83" s="340"/>
      <c r="AG83" s="86" t="s">
        <v>1626</v>
      </c>
      <c r="AH83" s="86">
        <v>44952</v>
      </c>
    </row>
    <row r="84" spans="1:34" hidden="1" x14ac:dyDescent="0.25">
      <c r="A84" s="99">
        <v>41024</v>
      </c>
      <c r="B84" s="99">
        <v>42120</v>
      </c>
      <c r="C84" s="101">
        <f ca="1">(YEAR(NOW())-YEAR(A84))</f>
        <v>12</v>
      </c>
      <c r="D84" s="38" t="s">
        <v>119</v>
      </c>
      <c r="E84" s="74" t="s">
        <v>832</v>
      </c>
      <c r="F84" s="38" t="s">
        <v>165</v>
      </c>
      <c r="G84" s="38" t="s">
        <v>356</v>
      </c>
      <c r="H84" s="70" t="s">
        <v>713</v>
      </c>
      <c r="I84" s="38">
        <v>6</v>
      </c>
      <c r="J84" s="38" t="s">
        <v>19</v>
      </c>
      <c r="K84" s="74" t="s">
        <v>797</v>
      </c>
      <c r="L84" s="38" t="s">
        <v>506</v>
      </c>
      <c r="M84" s="74" t="s">
        <v>607</v>
      </c>
      <c r="N84" s="38" t="s">
        <v>272</v>
      </c>
      <c r="O84" s="38">
        <v>1755</v>
      </c>
      <c r="P84" s="86" t="s">
        <v>1642</v>
      </c>
      <c r="Q84" s="38" t="s">
        <v>95</v>
      </c>
      <c r="R84" s="80">
        <v>192168254222</v>
      </c>
      <c r="S84" s="80"/>
      <c r="T84" s="80"/>
      <c r="U84" s="38">
        <v>1000</v>
      </c>
      <c r="V84" s="38" t="s">
        <v>1128</v>
      </c>
      <c r="W84" s="70" t="s">
        <v>1641</v>
      </c>
      <c r="X84" s="38" t="s">
        <v>1640</v>
      </c>
      <c r="Y84" s="87">
        <v>5834</v>
      </c>
      <c r="Z84" s="255">
        <v>5861</v>
      </c>
      <c r="AA84" s="255" t="s">
        <v>1207</v>
      </c>
      <c r="AB84" s="255">
        <v>193</v>
      </c>
      <c r="AC84" s="255" t="s">
        <v>1514</v>
      </c>
      <c r="AD84" s="255"/>
      <c r="AE84" s="184" t="s">
        <v>1634</v>
      </c>
      <c r="AF84" s="340"/>
      <c r="AG84" s="86" t="s">
        <v>338</v>
      </c>
      <c r="AH84" s="86">
        <v>44952</v>
      </c>
    </row>
    <row r="85" spans="1:34" hidden="1" x14ac:dyDescent="0.25">
      <c r="A85" s="99">
        <v>43560</v>
      </c>
      <c r="B85" s="99">
        <v>43926</v>
      </c>
      <c r="C85" s="103">
        <f t="shared" ca="1" si="8"/>
        <v>5</v>
      </c>
      <c r="D85" s="38" t="s">
        <v>207</v>
      </c>
      <c r="E85" s="74" t="s">
        <v>817</v>
      </c>
      <c r="F85" s="38" t="s">
        <v>216</v>
      </c>
      <c r="G85" s="38" t="s">
        <v>1618</v>
      </c>
      <c r="H85" s="38" t="s">
        <v>87</v>
      </c>
      <c r="I85" s="38">
        <v>8</v>
      </c>
      <c r="J85" s="38" t="s">
        <v>11</v>
      </c>
      <c r="K85" s="74" t="s">
        <v>780</v>
      </c>
      <c r="L85" s="38" t="s">
        <v>506</v>
      </c>
      <c r="M85" s="74" t="s">
        <v>606</v>
      </c>
      <c r="N85" s="38" t="s">
        <v>272</v>
      </c>
      <c r="O85" s="38" t="s">
        <v>1348</v>
      </c>
      <c r="P85" s="38" t="s">
        <v>925</v>
      </c>
      <c r="Q85" s="38" t="s">
        <v>339</v>
      </c>
      <c r="R85" s="80">
        <v>192168254179</v>
      </c>
      <c r="S85" s="80"/>
      <c r="T85" s="80"/>
      <c r="U85" s="38">
        <v>1000</v>
      </c>
      <c r="V85" s="38" t="s">
        <v>1506</v>
      </c>
      <c r="W85" s="70" t="s">
        <v>130</v>
      </c>
      <c r="X85" s="38" t="s">
        <v>123</v>
      </c>
      <c r="Y85" s="38" t="s">
        <v>525</v>
      </c>
      <c r="Z85" s="251">
        <v>5848</v>
      </c>
      <c r="AA85" s="251" t="s">
        <v>1210</v>
      </c>
      <c r="AB85" s="251">
        <v>179</v>
      </c>
      <c r="AC85" s="251" t="s">
        <v>1475</v>
      </c>
      <c r="AD85" s="251"/>
      <c r="AE85" s="183" t="s">
        <v>329</v>
      </c>
      <c r="AF85" s="340"/>
      <c r="AG85" s="86" t="s">
        <v>338</v>
      </c>
      <c r="AH85" s="86">
        <v>44886</v>
      </c>
    </row>
    <row r="86" spans="1:34" hidden="1" x14ac:dyDescent="0.25">
      <c r="A86" s="99">
        <v>44804</v>
      </c>
      <c r="B86" s="99">
        <v>45901</v>
      </c>
      <c r="C86" s="103">
        <f t="shared" ca="1" si="8"/>
        <v>2</v>
      </c>
      <c r="D86" s="38" t="s">
        <v>1219</v>
      </c>
      <c r="E86" s="74" t="s">
        <v>1220</v>
      </c>
      <c r="F86" s="38" t="s">
        <v>1493</v>
      </c>
      <c r="G86" s="38" t="s">
        <v>1494</v>
      </c>
      <c r="H86" s="38" t="s">
        <v>717</v>
      </c>
      <c r="I86" s="38">
        <v>8</v>
      </c>
      <c r="J86" s="38" t="s">
        <v>943</v>
      </c>
      <c r="K86" s="74" t="s">
        <v>1499</v>
      </c>
      <c r="L86" s="75" t="s">
        <v>1530</v>
      </c>
      <c r="M86" s="74" t="s">
        <v>1503</v>
      </c>
      <c r="N86" s="38" t="s">
        <v>272</v>
      </c>
      <c r="O86" s="38">
        <v>1295</v>
      </c>
      <c r="P86" s="38" t="s">
        <v>1717</v>
      </c>
      <c r="Q86" s="38" t="s">
        <v>121</v>
      </c>
      <c r="R86" s="80">
        <v>192168254178</v>
      </c>
      <c r="S86" s="80"/>
      <c r="T86" s="80"/>
      <c r="U86" s="38">
        <v>1000</v>
      </c>
      <c r="V86" s="38" t="s">
        <v>1507</v>
      </c>
      <c r="W86" s="70" t="s">
        <v>1709</v>
      </c>
      <c r="X86" s="38" t="s">
        <v>18</v>
      </c>
      <c r="Y86" s="87">
        <v>5860</v>
      </c>
      <c r="Z86" s="255">
        <v>5860</v>
      </c>
      <c r="AA86" s="255" t="s">
        <v>1209</v>
      </c>
      <c r="AB86" s="255">
        <v>178</v>
      </c>
      <c r="AC86" s="255" t="s">
        <v>1513</v>
      </c>
      <c r="AD86" s="255"/>
      <c r="AE86" s="417" t="s">
        <v>1707</v>
      </c>
      <c r="AF86" s="340"/>
      <c r="AG86" s="86" t="s">
        <v>338</v>
      </c>
      <c r="AH86" s="86">
        <v>44879</v>
      </c>
    </row>
    <row r="87" spans="1:34" hidden="1" x14ac:dyDescent="0.25">
      <c r="A87" s="351">
        <v>43560</v>
      </c>
      <c r="B87" s="351">
        <v>43926</v>
      </c>
      <c r="C87" s="370">
        <f ca="1">(YEAR(NOW())-YEAR(A87))</f>
        <v>5</v>
      </c>
      <c r="D87" s="251" t="s">
        <v>207</v>
      </c>
      <c r="E87" s="353" t="s">
        <v>817</v>
      </c>
      <c r="F87" s="251" t="s">
        <v>215</v>
      </c>
      <c r="G87" s="251" t="s">
        <v>1538</v>
      </c>
      <c r="H87" s="70" t="s">
        <v>1251</v>
      </c>
      <c r="I87" s="251">
        <v>8</v>
      </c>
      <c r="J87" s="251" t="s">
        <v>943</v>
      </c>
      <c r="K87" s="353" t="s">
        <v>1539</v>
      </c>
      <c r="L87" s="251" t="s">
        <v>506</v>
      </c>
      <c r="M87" s="353" t="s">
        <v>613</v>
      </c>
      <c r="N87" s="251" t="s">
        <v>272</v>
      </c>
      <c r="O87" s="251">
        <v>1655</v>
      </c>
      <c r="P87" s="251" t="s">
        <v>1717</v>
      </c>
      <c r="Q87" s="251" t="s">
        <v>1710</v>
      </c>
      <c r="R87" s="357">
        <v>192168254178</v>
      </c>
      <c r="S87" s="357"/>
      <c r="T87" s="357"/>
      <c r="U87" s="251">
        <v>1000</v>
      </c>
      <c r="V87" s="251" t="s">
        <v>1128</v>
      </c>
      <c r="W87" s="354" t="s">
        <v>1709</v>
      </c>
      <c r="X87" s="251" t="s">
        <v>18</v>
      </c>
      <c r="Y87" s="255">
        <v>5860</v>
      </c>
      <c r="Z87" s="255">
        <v>5860</v>
      </c>
      <c r="AA87" s="255" t="s">
        <v>1201</v>
      </c>
      <c r="AB87" s="255" t="s">
        <v>1544</v>
      </c>
      <c r="AC87" s="251" t="s">
        <v>1548</v>
      </c>
      <c r="AD87" s="257"/>
      <c r="AE87" s="410" t="s">
        <v>1707</v>
      </c>
      <c r="AF87" s="363"/>
      <c r="AG87" s="356" t="s">
        <v>338</v>
      </c>
      <c r="AH87" s="356"/>
    </row>
    <row r="88" spans="1:34" hidden="1" x14ac:dyDescent="0.25">
      <c r="A88" s="99">
        <v>41369</v>
      </c>
      <c r="B88" s="99">
        <v>42466</v>
      </c>
      <c r="C88" s="103">
        <f t="shared" ca="1" si="8"/>
        <v>11</v>
      </c>
      <c r="D88" s="38" t="s">
        <v>59</v>
      </c>
      <c r="E88" s="74" t="s">
        <v>816</v>
      </c>
      <c r="F88" s="38" t="s">
        <v>167</v>
      </c>
      <c r="G88" s="38" t="s">
        <v>1616</v>
      </c>
      <c r="H88" s="70" t="s">
        <v>714</v>
      </c>
      <c r="I88" s="38">
        <v>6</v>
      </c>
      <c r="J88" s="38" t="s">
        <v>19</v>
      </c>
      <c r="K88" s="74"/>
      <c r="L88" s="75" t="s">
        <v>533</v>
      </c>
      <c r="M88" s="77" t="s">
        <v>582</v>
      </c>
      <c r="N88" s="38" t="s">
        <v>272</v>
      </c>
      <c r="O88" s="38" t="s">
        <v>1342</v>
      </c>
      <c r="P88" s="38" t="s">
        <v>926</v>
      </c>
      <c r="Q88" s="38" t="s">
        <v>154</v>
      </c>
      <c r="R88" s="80">
        <v>192168254122</v>
      </c>
      <c r="S88" s="80"/>
      <c r="T88" s="80"/>
      <c r="U88" s="38">
        <v>1000</v>
      </c>
      <c r="V88" s="38" t="s">
        <v>1134</v>
      </c>
      <c r="W88" s="70" t="s">
        <v>155</v>
      </c>
      <c r="X88" s="38" t="s">
        <v>205</v>
      </c>
      <c r="Y88" s="87">
        <v>5891</v>
      </c>
      <c r="Z88" s="255">
        <v>5891</v>
      </c>
      <c r="AA88" s="255" t="s">
        <v>1208</v>
      </c>
      <c r="AB88" s="255">
        <v>130</v>
      </c>
      <c r="AC88" s="255" t="s">
        <v>1515</v>
      </c>
      <c r="AD88" s="255"/>
      <c r="AE88" s="74" t="s">
        <v>531</v>
      </c>
      <c r="AF88" s="342" t="s">
        <v>534</v>
      </c>
      <c r="AG88" s="350" t="s">
        <v>338</v>
      </c>
      <c r="AH88" s="39">
        <v>44886</v>
      </c>
    </row>
    <row r="89" spans="1:34" hidden="1" x14ac:dyDescent="0.25">
      <c r="A89" s="448" t="s">
        <v>1077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  <c r="R89" s="448"/>
      <c r="S89" s="448"/>
      <c r="T89" s="448"/>
      <c r="U89" s="448"/>
      <c r="V89" s="448"/>
      <c r="W89" s="448"/>
      <c r="X89" s="448"/>
      <c r="Y89" s="448"/>
      <c r="Z89" s="448"/>
      <c r="AA89" s="448"/>
      <c r="AB89" s="448"/>
      <c r="AC89" s="448"/>
      <c r="AD89" s="448"/>
      <c r="AE89" s="448"/>
      <c r="AF89" s="448"/>
      <c r="AG89" s="344"/>
      <c r="AH89" s="345"/>
    </row>
    <row r="90" spans="1:34" hidden="1" x14ac:dyDescent="0.25">
      <c r="A90" s="15" t="s">
        <v>800</v>
      </c>
      <c r="B90" s="15" t="s">
        <v>799</v>
      </c>
      <c r="C90" s="15" t="s">
        <v>802</v>
      </c>
      <c r="D90" s="15" t="s">
        <v>2</v>
      </c>
      <c r="E90" s="36" t="s">
        <v>813</v>
      </c>
      <c r="F90" s="15" t="s">
        <v>7</v>
      </c>
      <c r="G90" s="36" t="s">
        <v>235</v>
      </c>
      <c r="H90" s="15" t="s">
        <v>86</v>
      </c>
      <c r="I90" s="36" t="s">
        <v>15</v>
      </c>
      <c r="J90" s="15" t="s">
        <v>6</v>
      </c>
      <c r="K90" s="36" t="s">
        <v>575</v>
      </c>
      <c r="L90" s="36" t="s">
        <v>368</v>
      </c>
      <c r="M90" s="36" t="s">
        <v>574</v>
      </c>
      <c r="N90" s="15" t="s">
        <v>333</v>
      </c>
      <c r="O90" s="36" t="s">
        <v>945</v>
      </c>
      <c r="P90" s="15" t="s">
        <v>907</v>
      </c>
      <c r="Q90" s="15" t="s">
        <v>3</v>
      </c>
      <c r="R90" s="15" t="s">
        <v>5</v>
      </c>
      <c r="S90" s="36" t="s">
        <v>835</v>
      </c>
      <c r="T90" s="36" t="s">
        <v>538</v>
      </c>
      <c r="U90" s="36" t="s">
        <v>968</v>
      </c>
      <c r="V90" s="36"/>
      <c r="W90" s="15" t="s">
        <v>906</v>
      </c>
      <c r="X90" s="15" t="s">
        <v>13</v>
      </c>
      <c r="Y90" s="15" t="s">
        <v>514</v>
      </c>
      <c r="Z90" s="15"/>
      <c r="AA90" s="15"/>
      <c r="AB90" s="15"/>
      <c r="AC90" s="15"/>
      <c r="AD90" s="15"/>
      <c r="AE90" s="15" t="s">
        <v>232</v>
      </c>
      <c r="AF90" s="335" t="s">
        <v>1081</v>
      </c>
      <c r="AG90" s="15"/>
      <c r="AH90" s="346"/>
    </row>
    <row r="91" spans="1:34" hidden="1" x14ac:dyDescent="0.25">
      <c r="A91" s="371">
        <v>40731</v>
      </c>
      <c r="B91" s="371">
        <v>41131</v>
      </c>
      <c r="C91" s="352">
        <f ca="1">(YEAR(NOW())-YEAR(A91))</f>
        <v>13</v>
      </c>
      <c r="D91" s="251" t="s">
        <v>745</v>
      </c>
      <c r="E91" s="353" t="s">
        <v>1024</v>
      </c>
      <c r="F91" s="251" t="s">
        <v>746</v>
      </c>
      <c r="G91" s="251" t="s">
        <v>786</v>
      </c>
      <c r="H91" s="354" t="s">
        <v>714</v>
      </c>
      <c r="I91" s="251">
        <v>4</v>
      </c>
      <c r="J91" s="251" t="s">
        <v>19</v>
      </c>
      <c r="K91" s="353" t="s">
        <v>747</v>
      </c>
      <c r="L91" s="254" t="s">
        <v>506</v>
      </c>
      <c r="M91" s="355" t="s">
        <v>608</v>
      </c>
      <c r="N91" s="356" t="s">
        <v>272</v>
      </c>
      <c r="O91" s="361"/>
      <c r="P91" s="255" t="s">
        <v>1082</v>
      </c>
      <c r="Q91" s="251" t="s">
        <v>1025</v>
      </c>
      <c r="R91" s="357" t="s">
        <v>748</v>
      </c>
      <c r="S91" s="257"/>
      <c r="T91" s="257"/>
      <c r="U91" s="251">
        <v>1000</v>
      </c>
      <c r="V91" s="257"/>
      <c r="W91" s="354" t="s">
        <v>132</v>
      </c>
      <c r="X91" s="251" t="s">
        <v>1032</v>
      </c>
      <c r="Y91" s="251" t="s">
        <v>1080</v>
      </c>
      <c r="Z91" s="364"/>
      <c r="AA91" s="364"/>
      <c r="AB91" s="364"/>
      <c r="AC91" s="364"/>
      <c r="AD91" s="364"/>
      <c r="AE91" s="299" t="s">
        <v>1076</v>
      </c>
      <c r="AF91" s="365">
        <v>511092714</v>
      </c>
      <c r="AG91" s="254" t="s">
        <v>1626</v>
      </c>
      <c r="AH91" s="366"/>
    </row>
    <row r="92" spans="1:34" hidden="1" x14ac:dyDescent="0.25">
      <c r="A92" s="351">
        <v>41452</v>
      </c>
      <c r="B92" s="351">
        <v>42549</v>
      </c>
      <c r="C92" s="370">
        <f ca="1">(YEAR(NOW())-YEAR(A92))</f>
        <v>11</v>
      </c>
      <c r="D92" s="251" t="s">
        <v>21</v>
      </c>
      <c r="E92" s="353" t="s">
        <v>821</v>
      </c>
      <c r="F92" s="251" t="s">
        <v>20</v>
      </c>
      <c r="G92" s="251" t="s">
        <v>264</v>
      </c>
      <c r="H92" s="354" t="s">
        <v>714</v>
      </c>
      <c r="I92" s="251">
        <v>4</v>
      </c>
      <c r="J92" s="251" t="s">
        <v>943</v>
      </c>
      <c r="K92" s="353" t="s">
        <v>974</v>
      </c>
      <c r="L92" s="254" t="s">
        <v>506</v>
      </c>
      <c r="M92" s="353" t="s">
        <v>609</v>
      </c>
      <c r="N92" s="356" t="s">
        <v>272</v>
      </c>
      <c r="O92" s="361"/>
      <c r="P92" s="255" t="s">
        <v>916</v>
      </c>
      <c r="Q92" s="251" t="s">
        <v>1072</v>
      </c>
      <c r="R92" s="357">
        <v>192168254104</v>
      </c>
      <c r="S92" s="257"/>
      <c r="T92" s="257"/>
      <c r="U92" s="251">
        <v>1000</v>
      </c>
      <c r="V92" s="257"/>
      <c r="W92" s="354" t="s">
        <v>200</v>
      </c>
      <c r="X92" s="251" t="s">
        <v>1032</v>
      </c>
      <c r="Y92" s="251" t="s">
        <v>1079</v>
      </c>
      <c r="Z92" s="364"/>
      <c r="AA92" s="364"/>
      <c r="AB92" s="364"/>
      <c r="AC92" s="364"/>
      <c r="AD92" s="364"/>
      <c r="AE92" s="367" t="s">
        <v>1078</v>
      </c>
      <c r="AF92" s="255">
        <v>948079353</v>
      </c>
      <c r="AG92" s="251" t="s">
        <v>1626</v>
      </c>
      <c r="AH92" s="356"/>
    </row>
    <row r="93" spans="1:34" hidden="1" x14ac:dyDescent="0.25">
      <c r="A93" s="351">
        <v>40507</v>
      </c>
      <c r="B93" s="351">
        <v>41604</v>
      </c>
      <c r="C93" s="370">
        <f ca="1">(YEAR(NOW())-YEAR(A93))</f>
        <v>14</v>
      </c>
      <c r="D93" s="251" t="s">
        <v>168</v>
      </c>
      <c r="E93" s="353" t="s">
        <v>822</v>
      </c>
      <c r="F93" s="254" t="s">
        <v>173</v>
      </c>
      <c r="G93" s="254" t="s">
        <v>570</v>
      </c>
      <c r="H93" s="354" t="s">
        <v>713</v>
      </c>
      <c r="I93" s="251">
        <v>6</v>
      </c>
      <c r="J93" s="251" t="s">
        <v>19</v>
      </c>
      <c r="K93" s="353" t="s">
        <v>677</v>
      </c>
      <c r="L93" s="254" t="s">
        <v>502</v>
      </c>
      <c r="M93" s="355" t="s">
        <v>616</v>
      </c>
      <c r="N93" s="356" t="s">
        <v>272</v>
      </c>
      <c r="O93" s="361"/>
      <c r="P93" s="255" t="s">
        <v>1358</v>
      </c>
      <c r="Q93" s="254" t="s">
        <v>173</v>
      </c>
      <c r="R93" s="368" t="s">
        <v>170</v>
      </c>
      <c r="S93" s="257"/>
      <c r="T93" s="257"/>
      <c r="U93" s="254">
        <v>1000</v>
      </c>
      <c r="V93" s="257"/>
      <c r="W93" s="369" t="s">
        <v>1359</v>
      </c>
      <c r="X93" s="251" t="s">
        <v>1032</v>
      </c>
      <c r="Y93" s="251" t="s">
        <v>1355</v>
      </c>
      <c r="Z93" s="364"/>
      <c r="AA93" s="364"/>
      <c r="AB93" s="364"/>
      <c r="AC93" s="364"/>
      <c r="AD93" s="364"/>
      <c r="AE93" s="353" t="s">
        <v>1360</v>
      </c>
      <c r="AF93" s="255">
        <v>993043754</v>
      </c>
      <c r="AG93" s="251" t="s">
        <v>1626</v>
      </c>
      <c r="AH93" s="356"/>
    </row>
    <row r="94" spans="1:34" hidden="1" x14ac:dyDescent="0.25"/>
    <row r="95" spans="1:34" hidden="1" x14ac:dyDescent="0.25"/>
    <row r="96" spans="1:34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spans="31:33" hidden="1" x14ac:dyDescent="0.25"/>
    <row r="146" spans="31:33" hidden="1" x14ac:dyDescent="0.25"/>
    <row r="147" spans="31:33" hidden="1" x14ac:dyDescent="0.25"/>
    <row r="148" spans="31:33" hidden="1" x14ac:dyDescent="0.25">
      <c r="AE148" s="68"/>
      <c r="AF148" s="13"/>
      <c r="AG148" s="13"/>
    </row>
    <row r="149" spans="31:33" hidden="1" x14ac:dyDescent="0.25">
      <c r="AE149" s="68"/>
      <c r="AF149" s="13"/>
      <c r="AG149" s="13"/>
    </row>
    <row r="150" spans="31:33" hidden="1" x14ac:dyDescent="0.25"/>
  </sheetData>
  <autoFilter ref="A2:AH150" xr:uid="{00000000-0001-0000-0000-000000000000}">
    <filterColumn colId="15">
      <filters>
        <filter val="alessandra.silva"/>
      </filters>
    </filterColumn>
  </autoFilter>
  <mergeCells count="5">
    <mergeCell ref="A70:AF70"/>
    <mergeCell ref="A40:AF40"/>
    <mergeCell ref="A1:AF1"/>
    <mergeCell ref="A89:AF89"/>
    <mergeCell ref="A17:AF17"/>
  </mergeCells>
  <phoneticPr fontId="5" type="noConversion"/>
  <conditionalFormatting sqref="A38:AH38 A42:AH45 A39:AG41 A59:AH62 A58:AG58 A70:AG71 A89:AG127 A64:AH69 A63:AG63 A22:AH23 A28:AH32 A25:AH25 A24:AG24 A47:AH57 A46:AG46 A88:AH88 A84:AH86 A83:AC83 A33:AG37 A1:AG21 A72:AH82 A87:AG87 A26:AG27">
    <cfRule type="expression" dxfId="40" priority="28">
      <formula>ROW()=CELL("lin")</formula>
    </cfRule>
  </conditionalFormatting>
  <conditionalFormatting sqref="B91:B93 B42:B69 B4:B16 B72:B88 B18:B39">
    <cfRule type="cellIs" dxfId="39" priority="20" operator="greaterThan">
      <formula>"hoje"</formula>
    </cfRule>
  </conditionalFormatting>
  <conditionalFormatting sqref="B91:B93 B42:B69 B3:B16 B72:B88 B18:B39">
    <cfRule type="cellIs" dxfId="38" priority="19" operator="greaterThan">
      <formula>"hoje()"</formula>
    </cfRule>
  </conditionalFormatting>
  <conditionalFormatting sqref="B91:B93 B42:B69 B3:B16 B72:B88 B18:B39">
    <cfRule type="cellIs" dxfId="37" priority="17" operator="greaterThan">
      <formula>TODAY()</formula>
    </cfRule>
    <cfRule type="cellIs" dxfId="36" priority="18" operator="lessThan">
      <formula>TODAY()</formula>
    </cfRule>
  </conditionalFormatting>
  <conditionalFormatting sqref="AH25">
    <cfRule type="expression" dxfId="35" priority="13">
      <formula>(TODAY() - ($AH$25+15)) &lt;=0</formula>
    </cfRule>
    <cfRule type="expression" dxfId="34" priority="14">
      <formula>(TODAY() - ($AH$25+15)) &gt;0</formula>
    </cfRule>
  </conditionalFormatting>
  <conditionalFormatting sqref="AH38 AH42:AH45 AH59:AH62 AH64:AH69 AH22:AH23 AH28:AH32 AH25 AH47:AH57 AH88 AH72:AH86">
    <cfRule type="expression" dxfId="33" priority="11">
      <formula>(TODAY() - ($AH22+15)) &lt;=0</formula>
    </cfRule>
    <cfRule type="expression" dxfId="32" priority="12">
      <formula>(TODAY() - ($AH22+15)) &gt;0</formula>
    </cfRule>
  </conditionalFormatting>
  <conditionalFormatting sqref="AC83">
    <cfRule type="expression" dxfId="31" priority="7">
      <formula>(TODAY() - ($AH83+15)) &lt;=0</formula>
    </cfRule>
    <cfRule type="expression" dxfId="30" priority="8">
      <formula>(TODAY() - ($AH83+15)) &gt;0</formula>
    </cfRule>
  </conditionalFormatting>
  <conditionalFormatting sqref="AF83:AH83">
    <cfRule type="expression" dxfId="29" priority="5">
      <formula>ROW()=CELL("lin")</formula>
    </cfRule>
  </conditionalFormatting>
  <conditionalFormatting sqref="AH83">
    <cfRule type="expression" dxfId="28" priority="4">
      <formula>ROW()=CELL("lin")</formula>
    </cfRule>
  </conditionalFormatting>
  <conditionalFormatting sqref="AE83">
    <cfRule type="expression" dxfId="27" priority="3">
      <formula>ROW()=CELL("lin")</formula>
    </cfRule>
  </conditionalFormatting>
  <hyperlinks>
    <hyperlink ref="AE44" r:id="rId1" xr:uid="{6B6D6A8D-A4A7-408A-9A73-2E4448EACC32}"/>
    <hyperlink ref="AE47" r:id="rId2" xr:uid="{BDDC5A31-DC5D-425D-BB26-2E8D4E946A2D}"/>
    <hyperlink ref="AE50" r:id="rId3" xr:uid="{36BCE715-FD54-486F-A44F-7EC089F04A41}"/>
    <hyperlink ref="AE48" r:id="rId4" xr:uid="{EEF0C503-1CDB-41BD-ACBB-F64B5DA2E535}"/>
    <hyperlink ref="AE51" r:id="rId5" xr:uid="{829D101D-8D9C-436C-88A4-DE8BEB217763}"/>
    <hyperlink ref="AE49" r:id="rId6" xr:uid="{D4738745-4EA9-403B-BDE3-823E49EAEECB}"/>
    <hyperlink ref="AE43" r:id="rId7" xr:uid="{A8EA6F66-C118-4B49-9653-A4E1C2F371EF}"/>
    <hyperlink ref="AE52" r:id="rId8" xr:uid="{F31A661F-DDDB-4AC9-A382-57A64541EEB5}"/>
    <hyperlink ref="AE54" r:id="rId9" xr:uid="{E76BAB50-C583-4505-9271-512507F5B8DB}"/>
    <hyperlink ref="AE56" r:id="rId10" xr:uid="{C1082E04-275A-4AF3-A7D5-158287110303}"/>
    <hyperlink ref="AE57" r:id="rId11" xr:uid="{5E1620E7-434D-4268-9572-93AB48EB703E}"/>
    <hyperlink ref="AE22" r:id="rId12" xr:uid="{4986ADD7-ED0B-40C5-BBCE-328B38DEAC50}"/>
    <hyperlink ref="AE23" r:id="rId13" xr:uid="{354EA103-65E7-4135-BE1D-F7DF924D10FA}"/>
    <hyperlink ref="AE25" r:id="rId14" xr:uid="{CEEA12F6-0E3D-415A-B397-07592C66F51A}"/>
    <hyperlink ref="AE27" r:id="rId15" xr:uid="{661A0C9E-BA84-42FF-B6DE-22B1FB2C829A}"/>
    <hyperlink ref="AE32" r:id="rId16" xr:uid="{09FA37F5-D22B-4620-A94E-653F3DB9C5A5}"/>
    <hyperlink ref="AE75" r:id="rId17" xr:uid="{3F936E09-21D7-46C3-947F-B93CC947ECB3}"/>
    <hyperlink ref="AE76" r:id="rId18" xr:uid="{B9534474-377A-43E8-9710-6738B2EBA7E5}"/>
    <hyperlink ref="AE45" r:id="rId19" xr:uid="{17AD6B7F-84BF-4C12-A7DF-2776E7F6B6ED}"/>
    <hyperlink ref="AE46" r:id="rId20" xr:uid="{2EE5BD8E-9D44-4EBE-84B6-284058BFE355}"/>
    <hyperlink ref="AE53" r:id="rId21" xr:uid="{821714E4-EF99-48AF-8944-07C8643A09B9}"/>
    <hyperlink ref="AE79" r:id="rId22" xr:uid="{C4F3651E-B570-463C-A61D-003B81258507}"/>
    <hyperlink ref="AE81" r:id="rId23" xr:uid="{EAFC391D-F7CB-477D-9D3D-C519E792E1A4}"/>
    <hyperlink ref="AE82" r:id="rId24" xr:uid="{65523C10-BE9E-401A-9B5E-CFDF3775AFED}"/>
    <hyperlink ref="AE85" r:id="rId25" xr:uid="{EB38F888-FBF7-42C3-A4BC-28DE2622E614}"/>
    <hyperlink ref="AE59" r:id="rId26" xr:uid="{32F2AD5D-41DC-4BF0-8C25-2D1A4C378E22}"/>
    <hyperlink ref="AE60" r:id="rId27" xr:uid="{003AFC28-E6B5-474B-BEEA-18ADD83913F3}"/>
    <hyperlink ref="AE61" r:id="rId28" xr:uid="{E52B0665-BBD5-4C08-8CCE-A9E87CD8CA6F}"/>
    <hyperlink ref="AE62" r:id="rId29" xr:uid="{0592A85B-EAAA-4655-8E76-F145C4A3847D}"/>
    <hyperlink ref="AE64" r:id="rId30" xr:uid="{FC59AB17-0B01-40A0-8841-9784A7B83A12}"/>
    <hyperlink ref="AE65" r:id="rId31" xr:uid="{36968976-D34C-4658-B51E-87CBE96261B4}"/>
    <hyperlink ref="AE66" r:id="rId32" xr:uid="{6FF5DE0C-6FF4-4F2F-8314-D4DFCACD3A37}"/>
    <hyperlink ref="AE67" r:id="rId33" xr:uid="{15C849F0-28B8-4337-94C1-FC197937D793}"/>
    <hyperlink ref="AE68" r:id="rId34" xr:uid="{764B88EE-2630-4E60-8A9C-FAF00804CE9B}"/>
    <hyperlink ref="AE69" r:id="rId35" xr:uid="{559360BC-CD32-4AA0-9FB2-DC3D1161AD4B}"/>
    <hyperlink ref="AE55" r:id="rId36" xr:uid="{5FB78CC1-A431-4AA5-9078-8E69622A7CEB}"/>
    <hyperlink ref="AE38" r:id="rId37" xr:uid="{331EB726-8AA4-4F51-856D-BA91DA47A571}"/>
    <hyperlink ref="AE30" r:id="rId38" xr:uid="{F8AC4413-3FB8-4728-85B3-2569221E1F29}"/>
    <hyperlink ref="AE31" r:id="rId39" xr:uid="{934CBDAB-F254-408F-B5A1-725945F38BED}"/>
    <hyperlink ref="AE29" r:id="rId40" xr:uid="{30EF4F52-90CD-475C-B4F2-98DE1B5895B7}"/>
    <hyperlink ref="AE74" r:id="rId41" xr:uid="{86573014-97F4-4054-B5E0-DEE0D5D7B13F}"/>
    <hyperlink ref="AE86" r:id="rId42" xr:uid="{20D9F0B3-3C17-44B9-B8CF-303EDD20BF1C}"/>
    <hyperlink ref="AE42" r:id="rId43" xr:uid="{6ACFD4C1-2F3B-4070-8DF5-44CDBB997E09}"/>
    <hyperlink ref="AE28" r:id="rId44" xr:uid="{7464BE63-1E3C-4BB3-8116-2E61376FEE87}"/>
    <hyperlink ref="AE24" r:id="rId45" xr:uid="{29C4A41A-CA17-4F12-B804-9A6D69D8386E}"/>
    <hyperlink ref="AE80" r:id="rId46" xr:uid="{1824CC3D-F5C0-4EFC-9AAF-5EB41D413E8F}"/>
    <hyperlink ref="Z83" r:id="rId47" xr:uid="{D63D7990-6E1D-4775-B040-F68AD3748619}"/>
    <hyperlink ref="AE84" r:id="rId48" xr:uid="{C9AFB2A8-AA09-4200-BD60-030E08DF3FDA}"/>
    <hyperlink ref="AE87" r:id="rId49" xr:uid="{57D7D596-6982-4DC1-950E-3563883C4D11}"/>
    <hyperlink ref="AE77" r:id="rId50" xr:uid="{266B2692-8FE3-4781-8BEC-9886DAB3024D}"/>
    <hyperlink ref="AE78" r:id="rId51" xr:uid="{7E34A49C-05D6-4CED-A3EF-CA2648CA0543}"/>
  </hyperlinks>
  <pageMargins left="0.25" right="0.25" top="0.75" bottom="0.75" header="0.3" footer="0.3"/>
  <pageSetup paperSize="9" scale="34" orientation="landscape" verticalDpi="300" r:id="rId52"/>
  <legacyDrawing r:id="rId5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25BD5-317E-4746-B74D-BEC42B2B0149}">
  <dimension ref="A1:J54"/>
  <sheetViews>
    <sheetView zoomScale="73" zoomScaleNormal="73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0.28515625" bestFit="1" customWidth="1"/>
    <col min="2" max="2" width="25.28515625" style="45" customWidth="1"/>
    <col min="3" max="3" width="9.85546875" style="1" customWidth="1"/>
    <col min="4" max="4" width="9.140625" style="1" customWidth="1"/>
    <col min="5" max="5" width="11.7109375" style="1" bestFit="1" customWidth="1"/>
    <col min="6" max="6" width="11.42578125" style="1" customWidth="1"/>
    <col min="7" max="7" width="6.42578125" customWidth="1"/>
    <col min="8" max="8" width="5" style="1" bestFit="1" customWidth="1"/>
    <col min="9" max="9" width="17.42578125" bestFit="1" customWidth="1"/>
    <col min="10" max="10" width="7.85546875" bestFit="1" customWidth="1"/>
  </cols>
  <sheetData>
    <row r="1" spans="1:10" ht="27" customHeight="1" x14ac:dyDescent="0.25">
      <c r="A1" s="232" t="s">
        <v>906</v>
      </c>
      <c r="B1" s="233" t="s">
        <v>13</v>
      </c>
      <c r="C1" s="233" t="s">
        <v>836</v>
      </c>
      <c r="D1" s="233" t="s">
        <v>514</v>
      </c>
      <c r="E1" s="234" t="s">
        <v>535</v>
      </c>
      <c r="F1" s="234" t="s">
        <v>1443</v>
      </c>
      <c r="G1" s="232" t="s">
        <v>1433</v>
      </c>
      <c r="H1" s="233" t="s">
        <v>5</v>
      </c>
      <c r="I1" s="232" t="s">
        <v>1402</v>
      </c>
      <c r="J1" s="232" t="s">
        <v>1403</v>
      </c>
    </row>
    <row r="2" spans="1:10" x14ac:dyDescent="0.25">
      <c r="A2" s="226" t="s">
        <v>1721</v>
      </c>
      <c r="B2" s="226" t="s">
        <v>14</v>
      </c>
      <c r="C2" s="212" t="s">
        <v>1428</v>
      </c>
      <c r="D2" s="212">
        <v>5842</v>
      </c>
      <c r="E2" s="213" t="s">
        <v>536</v>
      </c>
      <c r="F2" s="212">
        <v>12</v>
      </c>
      <c r="G2" s="227"/>
      <c r="H2" s="217"/>
      <c r="I2" s="227"/>
      <c r="J2" s="227"/>
    </row>
    <row r="3" spans="1:10" x14ac:dyDescent="0.25">
      <c r="A3" s="226" t="s">
        <v>1673</v>
      </c>
      <c r="B3" s="226" t="s">
        <v>77</v>
      </c>
      <c r="C3" s="212" t="s">
        <v>1428</v>
      </c>
      <c r="D3" s="212">
        <v>5843</v>
      </c>
      <c r="E3" s="213" t="s">
        <v>536</v>
      </c>
      <c r="F3" s="212">
        <v>9</v>
      </c>
      <c r="G3" s="227"/>
      <c r="H3" s="217"/>
      <c r="I3" s="227"/>
      <c r="J3" s="227"/>
    </row>
    <row r="4" spans="1:10" x14ac:dyDescent="0.25">
      <c r="A4" s="226" t="s">
        <v>674</v>
      </c>
      <c r="B4" s="226" t="s">
        <v>80</v>
      </c>
      <c r="C4" s="212" t="s">
        <v>1428</v>
      </c>
      <c r="D4" s="212">
        <v>5832</v>
      </c>
      <c r="E4" s="213" t="s">
        <v>536</v>
      </c>
      <c r="F4" s="212">
        <v>13</v>
      </c>
      <c r="G4" s="227"/>
      <c r="H4" s="217"/>
      <c r="I4" s="227"/>
      <c r="J4" s="227"/>
    </row>
    <row r="5" spans="1:10" x14ac:dyDescent="0.25">
      <c r="A5" s="226" t="s">
        <v>973</v>
      </c>
      <c r="B5" s="226" t="s">
        <v>58</v>
      </c>
      <c r="C5" s="212" t="s">
        <v>1428</v>
      </c>
      <c r="D5" s="212">
        <v>5809</v>
      </c>
      <c r="E5" s="213" t="s">
        <v>536</v>
      </c>
      <c r="F5" s="212">
        <v>16</v>
      </c>
      <c r="G5" s="227"/>
      <c r="H5" s="217"/>
      <c r="I5" s="227"/>
      <c r="J5" s="227"/>
    </row>
    <row r="6" spans="1:10" x14ac:dyDescent="0.25">
      <c r="A6" s="226" t="s">
        <v>163</v>
      </c>
      <c r="B6" s="226" t="s">
        <v>58</v>
      </c>
      <c r="C6" s="212" t="s">
        <v>1428</v>
      </c>
      <c r="D6" s="212">
        <v>5844</v>
      </c>
      <c r="E6" s="213" t="s">
        <v>536</v>
      </c>
      <c r="F6" s="212">
        <v>17</v>
      </c>
      <c r="G6" s="227"/>
      <c r="H6" s="217"/>
      <c r="I6" s="227"/>
      <c r="J6" s="227"/>
    </row>
    <row r="7" spans="1:10" x14ac:dyDescent="0.25">
      <c r="A7" s="226" t="s">
        <v>197</v>
      </c>
      <c r="B7" s="226" t="s">
        <v>23</v>
      </c>
      <c r="C7" s="212" t="s">
        <v>1428</v>
      </c>
      <c r="D7" s="212">
        <v>5864</v>
      </c>
      <c r="E7" s="213" t="s">
        <v>536</v>
      </c>
      <c r="F7" s="212">
        <v>14</v>
      </c>
      <c r="G7" s="227"/>
      <c r="H7" s="217"/>
      <c r="I7" s="227"/>
      <c r="J7" s="227"/>
    </row>
    <row r="8" spans="1:10" x14ac:dyDescent="0.25">
      <c r="A8" s="226" t="s">
        <v>783</v>
      </c>
      <c r="B8" s="226" t="s">
        <v>73</v>
      </c>
      <c r="C8" s="212" t="s">
        <v>1428</v>
      </c>
      <c r="D8" s="212">
        <v>5878</v>
      </c>
      <c r="E8" s="213" t="s">
        <v>536</v>
      </c>
      <c r="F8" s="212">
        <v>19</v>
      </c>
      <c r="G8" s="227"/>
      <c r="H8" s="217"/>
      <c r="I8" s="227"/>
      <c r="J8" s="227"/>
    </row>
    <row r="9" spans="1:10" x14ac:dyDescent="0.25">
      <c r="A9" s="226" t="s">
        <v>1476</v>
      </c>
      <c r="B9" s="226" t="s">
        <v>56</v>
      </c>
      <c r="C9" s="212" t="s">
        <v>1428</v>
      </c>
      <c r="D9" s="212">
        <v>5863</v>
      </c>
      <c r="E9" s="213" t="s">
        <v>536</v>
      </c>
      <c r="F9" s="212">
        <v>15</v>
      </c>
      <c r="G9" s="227"/>
      <c r="H9" s="217"/>
      <c r="I9" s="227"/>
      <c r="J9" s="227"/>
    </row>
    <row r="10" spans="1:10" x14ac:dyDescent="0.25">
      <c r="A10" s="226" t="s">
        <v>761</v>
      </c>
      <c r="B10" s="226" t="s">
        <v>245</v>
      </c>
      <c r="C10" s="212" t="s">
        <v>1428</v>
      </c>
      <c r="D10" s="212">
        <v>5866</v>
      </c>
      <c r="E10" s="213" t="s">
        <v>536</v>
      </c>
      <c r="F10" s="212">
        <v>20</v>
      </c>
      <c r="G10" s="227"/>
      <c r="H10" s="217"/>
      <c r="I10" s="227"/>
      <c r="J10" s="227"/>
    </row>
    <row r="11" spans="1:10" x14ac:dyDescent="0.25">
      <c r="A11" s="258" t="s">
        <v>758</v>
      </c>
      <c r="B11" s="258" t="s">
        <v>67</v>
      </c>
      <c r="C11" s="238" t="s">
        <v>1428</v>
      </c>
      <c r="D11" s="238">
        <v>5874</v>
      </c>
      <c r="E11" s="259" t="s">
        <v>536</v>
      </c>
      <c r="F11" s="238">
        <v>10</v>
      </c>
      <c r="G11" s="260"/>
      <c r="H11" s="261"/>
      <c r="I11" s="260"/>
      <c r="J11" s="260"/>
    </row>
    <row r="12" spans="1:10" ht="15.75" thickBot="1" x14ac:dyDescent="0.3">
      <c r="A12" s="262" t="s">
        <v>1354</v>
      </c>
      <c r="B12" s="262" t="s">
        <v>70</v>
      </c>
      <c r="C12" s="263" t="s">
        <v>1428</v>
      </c>
      <c r="D12" s="263">
        <v>5873</v>
      </c>
      <c r="E12" s="264" t="s">
        <v>536</v>
      </c>
      <c r="F12" s="263">
        <v>18</v>
      </c>
      <c r="G12" s="265"/>
      <c r="H12" s="266"/>
      <c r="I12" s="265"/>
      <c r="J12" s="265"/>
    </row>
    <row r="13" spans="1:10" x14ac:dyDescent="0.25">
      <c r="A13" s="223" t="s">
        <v>1698</v>
      </c>
      <c r="B13" s="224" t="s">
        <v>990</v>
      </c>
      <c r="C13" s="225" t="s">
        <v>1429</v>
      </c>
      <c r="D13" s="225">
        <v>5855</v>
      </c>
      <c r="E13" s="222" t="s">
        <v>1432</v>
      </c>
      <c r="F13" s="225" t="s">
        <v>1168</v>
      </c>
      <c r="G13" s="223"/>
      <c r="H13" s="225">
        <v>194</v>
      </c>
      <c r="I13" s="223" t="s">
        <v>1502</v>
      </c>
      <c r="J13" s="223" t="s">
        <v>1562</v>
      </c>
    </row>
    <row r="14" spans="1:10" x14ac:dyDescent="0.25">
      <c r="A14" s="223" t="s">
        <v>52</v>
      </c>
      <c r="B14" s="223" t="s">
        <v>14</v>
      </c>
      <c r="C14" s="225" t="s">
        <v>1428</v>
      </c>
      <c r="D14" s="225">
        <v>5884</v>
      </c>
      <c r="E14" s="222" t="s">
        <v>1432</v>
      </c>
      <c r="F14" s="222"/>
      <c r="G14" s="220"/>
      <c r="H14" s="225">
        <v>125</v>
      </c>
      <c r="I14" s="223" t="s">
        <v>1427</v>
      </c>
      <c r="J14" s="223" t="s">
        <v>1426</v>
      </c>
    </row>
    <row r="15" spans="1:10" x14ac:dyDescent="0.25">
      <c r="A15" s="220" t="s">
        <v>127</v>
      </c>
      <c r="B15" s="221" t="s">
        <v>18</v>
      </c>
      <c r="C15" s="222" t="s">
        <v>1429</v>
      </c>
      <c r="D15" s="222">
        <v>5824</v>
      </c>
      <c r="E15" s="222" t="s">
        <v>1432</v>
      </c>
      <c r="F15" s="222" t="s">
        <v>1148</v>
      </c>
      <c r="G15" s="220"/>
      <c r="H15" s="222">
        <v>25</v>
      </c>
      <c r="I15" s="220" t="s">
        <v>1434</v>
      </c>
      <c r="J15" s="220" t="s">
        <v>1435</v>
      </c>
    </row>
    <row r="16" spans="1:10" x14ac:dyDescent="0.25">
      <c r="A16" s="223" t="s">
        <v>244</v>
      </c>
      <c r="B16" s="224" t="s">
        <v>18</v>
      </c>
      <c r="C16" s="225" t="s">
        <v>1429</v>
      </c>
      <c r="D16" s="225">
        <v>5825</v>
      </c>
      <c r="E16" s="222" t="s">
        <v>1432</v>
      </c>
      <c r="F16" s="225" t="s">
        <v>1150</v>
      </c>
      <c r="G16" s="223"/>
      <c r="H16" s="225">
        <v>149</v>
      </c>
      <c r="I16" s="223" t="s">
        <v>1463</v>
      </c>
      <c r="J16" s="223" t="s">
        <v>1462</v>
      </c>
    </row>
    <row r="17" spans="1:10" x14ac:dyDescent="0.25">
      <c r="A17" s="223" t="s">
        <v>96</v>
      </c>
      <c r="B17" s="224" t="s">
        <v>18</v>
      </c>
      <c r="C17" s="225" t="s">
        <v>1429</v>
      </c>
      <c r="D17" s="225">
        <v>5806</v>
      </c>
      <c r="E17" s="222" t="s">
        <v>1432</v>
      </c>
      <c r="F17" s="225" t="s">
        <v>1166</v>
      </c>
      <c r="G17" s="223"/>
      <c r="H17" s="225">
        <v>82</v>
      </c>
      <c r="I17" s="223" t="s">
        <v>1417</v>
      </c>
      <c r="J17" s="223" t="s">
        <v>1412</v>
      </c>
    </row>
    <row r="18" spans="1:10" x14ac:dyDescent="0.25">
      <c r="A18" s="223" t="s">
        <v>554</v>
      </c>
      <c r="B18" s="224" t="s">
        <v>18</v>
      </c>
      <c r="C18" s="225" t="s">
        <v>1429</v>
      </c>
      <c r="D18" s="225">
        <v>5876</v>
      </c>
      <c r="E18" s="222" t="s">
        <v>1432</v>
      </c>
      <c r="F18" s="225" t="s">
        <v>1163</v>
      </c>
      <c r="G18" s="223"/>
      <c r="H18" s="225">
        <v>124</v>
      </c>
      <c r="I18" s="223" t="s">
        <v>1418</v>
      </c>
      <c r="J18" s="223" t="s">
        <v>1414</v>
      </c>
    </row>
    <row r="19" spans="1:10" x14ac:dyDescent="0.25">
      <c r="A19" s="223" t="s">
        <v>189</v>
      </c>
      <c r="B19" s="224" t="s">
        <v>176</v>
      </c>
      <c r="C19" s="225" t="s">
        <v>1429</v>
      </c>
      <c r="D19" s="225">
        <v>5851</v>
      </c>
      <c r="E19" s="222" t="s">
        <v>1432</v>
      </c>
      <c r="F19" s="225" t="s">
        <v>1190</v>
      </c>
      <c r="G19" s="223"/>
      <c r="H19" s="225">
        <v>150</v>
      </c>
      <c r="I19" s="223" t="s">
        <v>1445</v>
      </c>
      <c r="J19" s="223" t="s">
        <v>1444</v>
      </c>
    </row>
    <row r="20" spans="1:10" x14ac:dyDescent="0.25">
      <c r="A20" s="223" t="s">
        <v>1695</v>
      </c>
      <c r="B20" s="224" t="s">
        <v>1699</v>
      </c>
      <c r="C20" s="225" t="s">
        <v>1429</v>
      </c>
      <c r="D20" s="225">
        <v>5828</v>
      </c>
      <c r="E20" s="222" t="s">
        <v>1432</v>
      </c>
      <c r="F20" s="225" t="s">
        <v>1192</v>
      </c>
      <c r="G20" s="223"/>
      <c r="H20" s="225">
        <v>104</v>
      </c>
      <c r="I20" s="223" t="s">
        <v>1451</v>
      </c>
      <c r="J20" s="223" t="s">
        <v>1450</v>
      </c>
    </row>
    <row r="21" spans="1:10" x14ac:dyDescent="0.25">
      <c r="A21" s="223" t="s">
        <v>61</v>
      </c>
      <c r="B21" s="224" t="s">
        <v>18</v>
      </c>
      <c r="C21" s="225" t="s">
        <v>1429</v>
      </c>
      <c r="D21" s="225">
        <v>5822</v>
      </c>
      <c r="E21" s="222" t="s">
        <v>1432</v>
      </c>
      <c r="F21" s="225" t="s">
        <v>1188</v>
      </c>
      <c r="G21" s="223"/>
      <c r="H21" s="225">
        <v>141</v>
      </c>
      <c r="I21" s="223" t="s">
        <v>1419</v>
      </c>
      <c r="J21" s="223" t="s">
        <v>1420</v>
      </c>
    </row>
    <row r="22" spans="1:10" x14ac:dyDescent="0.25">
      <c r="A22" s="223" t="s">
        <v>84</v>
      </c>
      <c r="B22" s="224" t="s">
        <v>18</v>
      </c>
      <c r="C22" s="225" t="s">
        <v>1429</v>
      </c>
      <c r="D22" s="225">
        <v>5882</v>
      </c>
      <c r="E22" s="222" t="s">
        <v>1432</v>
      </c>
      <c r="F22" s="225" t="s">
        <v>1186</v>
      </c>
      <c r="G22" s="223"/>
      <c r="H22" s="225">
        <v>23</v>
      </c>
      <c r="I22" s="223" t="s">
        <v>1408</v>
      </c>
      <c r="J22" s="223" t="s">
        <v>1409</v>
      </c>
    </row>
    <row r="23" spans="1:10" x14ac:dyDescent="0.25">
      <c r="A23" s="223" t="s">
        <v>134</v>
      </c>
      <c r="B23" s="224" t="s">
        <v>18</v>
      </c>
      <c r="C23" s="225" t="s">
        <v>1429</v>
      </c>
      <c r="D23" s="225">
        <v>5812</v>
      </c>
      <c r="E23" s="222" t="s">
        <v>1432</v>
      </c>
      <c r="F23" s="225" t="s">
        <v>1182</v>
      </c>
      <c r="G23" s="223"/>
      <c r="H23" s="225">
        <v>130</v>
      </c>
      <c r="I23" s="223" t="s">
        <v>1437</v>
      </c>
      <c r="J23" s="223" t="s">
        <v>1436</v>
      </c>
    </row>
    <row r="24" spans="1:10" x14ac:dyDescent="0.25">
      <c r="A24" s="223" t="s">
        <v>137</v>
      </c>
      <c r="B24" s="224" t="s">
        <v>18</v>
      </c>
      <c r="C24" s="225" t="s">
        <v>1429</v>
      </c>
      <c r="D24" s="225">
        <v>5814</v>
      </c>
      <c r="E24" s="222" t="s">
        <v>1432</v>
      </c>
      <c r="F24" s="225" t="s">
        <v>1184</v>
      </c>
      <c r="G24" s="223"/>
      <c r="H24" s="225">
        <v>100</v>
      </c>
      <c r="I24" s="223" t="s">
        <v>1413</v>
      </c>
      <c r="J24" s="223" t="s">
        <v>1415</v>
      </c>
    </row>
    <row r="25" spans="1:10" x14ac:dyDescent="0.25">
      <c r="A25" s="223" t="s">
        <v>237</v>
      </c>
      <c r="B25" s="224" t="s">
        <v>49</v>
      </c>
      <c r="C25" s="225" t="s">
        <v>1429</v>
      </c>
      <c r="D25" s="225">
        <v>5838</v>
      </c>
      <c r="E25" s="222" t="s">
        <v>1432</v>
      </c>
      <c r="F25" s="225" t="s">
        <v>1142</v>
      </c>
      <c r="G25" s="223"/>
      <c r="H25" s="225">
        <v>146</v>
      </c>
      <c r="I25" s="223" t="s">
        <v>1441</v>
      </c>
      <c r="J25" s="223" t="s">
        <v>1442</v>
      </c>
    </row>
    <row r="26" spans="1:10" x14ac:dyDescent="0.25">
      <c r="A26" s="223" t="s">
        <v>113</v>
      </c>
      <c r="B26" s="224" t="s">
        <v>49</v>
      </c>
      <c r="C26" s="225" t="s">
        <v>1429</v>
      </c>
      <c r="D26" s="225">
        <v>5811</v>
      </c>
      <c r="E26" s="222" t="s">
        <v>1432</v>
      </c>
      <c r="F26" s="225" t="s">
        <v>1146</v>
      </c>
      <c r="G26" s="223"/>
      <c r="H26" s="225">
        <v>83</v>
      </c>
      <c r="I26" s="223" t="s">
        <v>1471</v>
      </c>
      <c r="J26" s="223" t="s">
        <v>1470</v>
      </c>
    </row>
    <row r="27" spans="1:10" x14ac:dyDescent="0.25">
      <c r="A27" s="223" t="s">
        <v>142</v>
      </c>
      <c r="B27" s="224" t="s">
        <v>49</v>
      </c>
      <c r="C27" s="225" t="s">
        <v>1429</v>
      </c>
      <c r="D27" s="225">
        <v>5829</v>
      </c>
      <c r="E27" s="222" t="s">
        <v>1432</v>
      </c>
      <c r="F27" s="225" t="s">
        <v>1140</v>
      </c>
      <c r="G27" s="223"/>
      <c r="H27" s="225">
        <v>107</v>
      </c>
      <c r="I27" s="223" t="s">
        <v>1447</v>
      </c>
      <c r="J27" s="223" t="s">
        <v>1446</v>
      </c>
    </row>
    <row r="28" spans="1:10" x14ac:dyDescent="0.25">
      <c r="A28" s="223" t="s">
        <v>1028</v>
      </c>
      <c r="B28" s="224" t="s">
        <v>49</v>
      </c>
      <c r="C28" s="225" t="s">
        <v>1429</v>
      </c>
      <c r="D28" s="225">
        <v>5858</v>
      </c>
      <c r="E28" s="222" t="s">
        <v>1432</v>
      </c>
      <c r="F28" s="225" t="s">
        <v>1143</v>
      </c>
      <c r="G28" s="223"/>
      <c r="H28" s="225">
        <v>88</v>
      </c>
      <c r="I28" s="223" t="s">
        <v>1453</v>
      </c>
      <c r="J28" s="223" t="s">
        <v>1452</v>
      </c>
    </row>
    <row r="29" spans="1:10" x14ac:dyDescent="0.25">
      <c r="A29" s="223" t="s">
        <v>492</v>
      </c>
      <c r="B29" s="224" t="s">
        <v>18</v>
      </c>
      <c r="C29" s="225" t="s">
        <v>1429</v>
      </c>
      <c r="D29" s="225">
        <v>5831</v>
      </c>
      <c r="E29" s="222" t="s">
        <v>1432</v>
      </c>
      <c r="F29" s="225" t="s">
        <v>1154</v>
      </c>
      <c r="G29" s="223"/>
      <c r="H29" s="225">
        <v>112</v>
      </c>
      <c r="I29" s="223" t="s">
        <v>1410</v>
      </c>
      <c r="J29" s="223" t="s">
        <v>1411</v>
      </c>
    </row>
    <row r="30" spans="1:10" x14ac:dyDescent="0.25">
      <c r="A30" s="223" t="s">
        <v>239</v>
      </c>
      <c r="B30" s="224" t="s">
        <v>18</v>
      </c>
      <c r="C30" s="225" t="s">
        <v>1429</v>
      </c>
      <c r="D30" s="225">
        <v>5805</v>
      </c>
      <c r="E30" s="222" t="s">
        <v>1432</v>
      </c>
      <c r="F30" s="225" t="s">
        <v>1152</v>
      </c>
      <c r="G30" s="223"/>
      <c r="H30" s="225">
        <v>109</v>
      </c>
      <c r="I30" s="223" t="s">
        <v>1404</v>
      </c>
      <c r="J30" s="223" t="s">
        <v>1405</v>
      </c>
    </row>
    <row r="31" spans="1:10" x14ac:dyDescent="0.25">
      <c r="A31" s="223" t="s">
        <v>200</v>
      </c>
      <c r="B31" s="224" t="s">
        <v>18</v>
      </c>
      <c r="C31" s="225" t="s">
        <v>1429</v>
      </c>
      <c r="D31" s="225">
        <v>5810</v>
      </c>
      <c r="E31" s="222" t="s">
        <v>1432</v>
      </c>
      <c r="F31" s="225" t="s">
        <v>1156</v>
      </c>
      <c r="G31" s="223"/>
      <c r="H31" s="225">
        <v>113</v>
      </c>
      <c r="I31" s="223" t="s">
        <v>1406</v>
      </c>
      <c r="J31" s="223" t="s">
        <v>1407</v>
      </c>
    </row>
    <row r="32" spans="1:10" x14ac:dyDescent="0.25">
      <c r="A32" s="223" t="s">
        <v>963</v>
      </c>
      <c r="B32" s="224" t="s">
        <v>18</v>
      </c>
      <c r="C32" s="225" t="s">
        <v>1429</v>
      </c>
      <c r="D32" s="225">
        <v>5847</v>
      </c>
      <c r="E32" s="222" t="s">
        <v>1432</v>
      </c>
      <c r="F32" s="225" t="s">
        <v>1157</v>
      </c>
      <c r="G32" s="223"/>
      <c r="H32" s="225">
        <v>147</v>
      </c>
      <c r="I32" s="223" t="s">
        <v>1424</v>
      </c>
      <c r="J32" s="223" t="s">
        <v>1423</v>
      </c>
    </row>
    <row r="33" spans="1:10" x14ac:dyDescent="0.25">
      <c r="A33" s="223" t="s">
        <v>999</v>
      </c>
      <c r="B33" s="224" t="s">
        <v>18</v>
      </c>
      <c r="C33" s="225" t="s">
        <v>1429</v>
      </c>
      <c r="D33" s="225">
        <v>5867</v>
      </c>
      <c r="E33" s="222" t="s">
        <v>1432</v>
      </c>
      <c r="F33" s="225" t="s">
        <v>1161</v>
      </c>
      <c r="G33" s="223"/>
      <c r="H33" s="225">
        <v>136</v>
      </c>
      <c r="I33" s="223" t="s">
        <v>1422</v>
      </c>
      <c r="J33" s="223" t="s">
        <v>1421</v>
      </c>
    </row>
    <row r="34" spans="1:10" x14ac:dyDescent="0.25">
      <c r="A34" s="223" t="s">
        <v>324</v>
      </c>
      <c r="B34" s="224" t="s">
        <v>18</v>
      </c>
      <c r="C34" s="225" t="s">
        <v>1429</v>
      </c>
      <c r="D34" s="225">
        <v>5802</v>
      </c>
      <c r="E34" s="222" t="s">
        <v>1432</v>
      </c>
      <c r="F34" s="225" t="s">
        <v>1160</v>
      </c>
      <c r="G34" s="223"/>
      <c r="H34" s="225">
        <v>81</v>
      </c>
      <c r="I34" s="223" t="s">
        <v>1430</v>
      </c>
      <c r="J34" s="223" t="s">
        <v>1438</v>
      </c>
    </row>
    <row r="35" spans="1:10" x14ac:dyDescent="0.25">
      <c r="A35" s="223" t="s">
        <v>739</v>
      </c>
      <c r="B35" s="224" t="s">
        <v>114</v>
      </c>
      <c r="C35" s="225" t="s">
        <v>1429</v>
      </c>
      <c r="D35" s="225">
        <v>5818</v>
      </c>
      <c r="E35" s="222" t="s">
        <v>1432</v>
      </c>
      <c r="F35" s="225" t="s">
        <v>1174</v>
      </c>
      <c r="G35" s="223"/>
      <c r="H35" s="225">
        <v>120</v>
      </c>
      <c r="I35" s="223" t="s">
        <v>1449</v>
      </c>
      <c r="J35" s="223" t="s">
        <v>1448</v>
      </c>
    </row>
    <row r="36" spans="1:10" x14ac:dyDescent="0.25">
      <c r="A36" s="223" t="s">
        <v>715</v>
      </c>
      <c r="B36" s="224" t="s">
        <v>114</v>
      </c>
      <c r="C36" s="225" t="s">
        <v>1429</v>
      </c>
      <c r="D36" s="225">
        <v>5875</v>
      </c>
      <c r="E36" s="222" t="s">
        <v>1432</v>
      </c>
      <c r="F36" s="225" t="s">
        <v>1176</v>
      </c>
      <c r="G36" s="223"/>
      <c r="H36" s="225">
        <v>99</v>
      </c>
      <c r="I36" s="223" t="s">
        <v>1473</v>
      </c>
      <c r="J36" s="223" t="s">
        <v>1472</v>
      </c>
    </row>
    <row r="37" spans="1:10" x14ac:dyDescent="0.25">
      <c r="A37" s="223" t="s">
        <v>510</v>
      </c>
      <c r="B37" s="224" t="s">
        <v>114</v>
      </c>
      <c r="C37" s="225" t="s">
        <v>1429</v>
      </c>
      <c r="D37" s="225">
        <v>5869</v>
      </c>
      <c r="E37" s="222" t="s">
        <v>1432</v>
      </c>
      <c r="F37" s="225" t="s">
        <v>1178</v>
      </c>
      <c r="G37" s="223"/>
      <c r="H37" s="225">
        <v>145</v>
      </c>
      <c r="I37" s="223" t="s">
        <v>1465</v>
      </c>
      <c r="J37" s="223" t="s">
        <v>1464</v>
      </c>
    </row>
    <row r="38" spans="1:10" x14ac:dyDescent="0.25">
      <c r="A38" s="228" t="s">
        <v>1439</v>
      </c>
      <c r="B38" s="229" t="s">
        <v>18</v>
      </c>
      <c r="C38" s="230" t="s">
        <v>1429</v>
      </c>
      <c r="D38" s="230">
        <v>5854</v>
      </c>
      <c r="E38" s="231" t="s">
        <v>1432</v>
      </c>
      <c r="F38" s="230" t="s">
        <v>1180</v>
      </c>
      <c r="G38" s="228"/>
      <c r="H38" s="230">
        <v>114</v>
      </c>
      <c r="I38" s="228" t="s">
        <v>1469</v>
      </c>
      <c r="J38" s="228" t="s">
        <v>1468</v>
      </c>
    </row>
    <row r="39" spans="1:10" x14ac:dyDescent="0.25">
      <c r="A39" s="223" t="s">
        <v>345</v>
      </c>
      <c r="B39" s="224" t="s">
        <v>49</v>
      </c>
      <c r="C39" s="225" t="s">
        <v>1429</v>
      </c>
      <c r="D39" s="225">
        <v>5820</v>
      </c>
      <c r="E39" s="222" t="s">
        <v>1432</v>
      </c>
      <c r="F39" s="225" t="s">
        <v>1169</v>
      </c>
      <c r="G39" s="223"/>
      <c r="H39" s="225">
        <v>89</v>
      </c>
      <c r="I39" s="223" t="s">
        <v>1455</v>
      </c>
      <c r="J39" s="223" t="s">
        <v>1454</v>
      </c>
    </row>
    <row r="40" spans="1:10" x14ac:dyDescent="0.25">
      <c r="A40" s="228" t="s">
        <v>1440</v>
      </c>
      <c r="B40" s="229" t="s">
        <v>18</v>
      </c>
      <c r="C40" s="230" t="s">
        <v>1429</v>
      </c>
      <c r="D40" s="230">
        <v>5860</v>
      </c>
      <c r="E40" s="231" t="s">
        <v>1432</v>
      </c>
      <c r="F40" s="230" t="s">
        <v>1172</v>
      </c>
      <c r="G40" s="228"/>
      <c r="H40" s="230">
        <v>123</v>
      </c>
      <c r="I40" s="228" t="s">
        <v>1467</v>
      </c>
      <c r="J40" s="228" t="s">
        <v>1466</v>
      </c>
    </row>
    <row r="41" spans="1:10" ht="15.75" thickBot="1" x14ac:dyDescent="0.3">
      <c r="A41" s="235" t="s">
        <v>171</v>
      </c>
      <c r="B41" s="236" t="s">
        <v>172</v>
      </c>
      <c r="C41" s="237" t="s">
        <v>1429</v>
      </c>
      <c r="D41" s="237">
        <v>5880</v>
      </c>
      <c r="E41" s="237" t="s">
        <v>1432</v>
      </c>
      <c r="F41" s="237" t="s">
        <v>1194</v>
      </c>
      <c r="G41" s="235"/>
      <c r="H41" s="237">
        <v>103</v>
      </c>
      <c r="I41" s="235" t="s">
        <v>1459</v>
      </c>
      <c r="J41" s="235" t="s">
        <v>1458</v>
      </c>
    </row>
    <row r="42" spans="1:10" ht="15.75" thickBot="1" x14ac:dyDescent="0.3">
      <c r="A42" s="220" t="s">
        <v>511</v>
      </c>
      <c r="B42" s="221" t="s">
        <v>172</v>
      </c>
      <c r="C42" s="222" t="s">
        <v>1431</v>
      </c>
      <c r="D42" s="222">
        <v>5870</v>
      </c>
      <c r="E42" s="237" t="s">
        <v>1432</v>
      </c>
      <c r="F42" s="237" t="s">
        <v>1212</v>
      </c>
      <c r="G42" s="220"/>
      <c r="H42" s="237">
        <v>148</v>
      </c>
      <c r="I42" s="220" t="s">
        <v>1461</v>
      </c>
      <c r="J42" s="220" t="s">
        <v>1460</v>
      </c>
    </row>
    <row r="43" spans="1:10" ht="15.75" thickBot="1" x14ac:dyDescent="0.3">
      <c r="A43" s="223" t="s">
        <v>130</v>
      </c>
      <c r="B43" s="223" t="s">
        <v>123</v>
      </c>
      <c r="C43" s="225" t="s">
        <v>1431</v>
      </c>
      <c r="D43" s="225">
        <v>5848</v>
      </c>
      <c r="E43" s="237" t="s">
        <v>1432</v>
      </c>
      <c r="F43" s="237" t="s">
        <v>1210</v>
      </c>
      <c r="G43" s="223"/>
      <c r="H43" s="237">
        <v>105</v>
      </c>
      <c r="I43" s="223" t="s">
        <v>1475</v>
      </c>
      <c r="J43" s="223" t="s">
        <v>1474</v>
      </c>
    </row>
    <row r="44" spans="1:10" ht="15.75" thickBot="1" x14ac:dyDescent="0.3">
      <c r="A44" s="223" t="s">
        <v>179</v>
      </c>
      <c r="B44" s="224" t="s">
        <v>172</v>
      </c>
      <c r="C44" s="225" t="s">
        <v>1431</v>
      </c>
      <c r="D44" s="225">
        <v>5840</v>
      </c>
      <c r="E44" s="237" t="s">
        <v>1432</v>
      </c>
      <c r="F44" s="237" t="s">
        <v>1214</v>
      </c>
      <c r="G44" s="223"/>
      <c r="H44" s="237">
        <v>108</v>
      </c>
      <c r="I44" s="223" t="s">
        <v>1457</v>
      </c>
      <c r="J44" s="223" t="s">
        <v>1456</v>
      </c>
    </row>
    <row r="45" spans="1:10" ht="15.75" thickBot="1" x14ac:dyDescent="0.3">
      <c r="A45" s="223" t="s">
        <v>512</v>
      </c>
      <c r="B45" s="223" t="s">
        <v>93</v>
      </c>
      <c r="C45" s="225" t="s">
        <v>1431</v>
      </c>
      <c r="D45" s="225">
        <v>5835</v>
      </c>
      <c r="E45" s="237" t="s">
        <v>1432</v>
      </c>
      <c r="F45" s="237" t="s">
        <v>1206</v>
      </c>
      <c r="G45" s="330"/>
      <c r="H45" s="331"/>
      <c r="I45" s="330"/>
      <c r="J45" s="223" t="s">
        <v>1610</v>
      </c>
    </row>
    <row r="46" spans="1:10" ht="15.75" thickBot="1" x14ac:dyDescent="0.3">
      <c r="A46" s="223" t="s">
        <v>139</v>
      </c>
      <c r="B46" s="223" t="s">
        <v>93</v>
      </c>
      <c r="C46" s="225" t="s">
        <v>1431</v>
      </c>
      <c r="D46" s="225">
        <v>5833</v>
      </c>
      <c r="E46" s="237" t="s">
        <v>1432</v>
      </c>
      <c r="F46" s="237" t="s">
        <v>1205</v>
      </c>
      <c r="G46" s="330"/>
      <c r="H46" s="331"/>
      <c r="I46" s="330"/>
      <c r="J46" s="223" t="s">
        <v>1611</v>
      </c>
    </row>
    <row r="47" spans="1:10" ht="15.75" thickBot="1" x14ac:dyDescent="0.3">
      <c r="A47" s="223" t="s">
        <v>343</v>
      </c>
      <c r="B47" s="223" t="s">
        <v>164</v>
      </c>
      <c r="C47" s="225" t="s">
        <v>1431</v>
      </c>
      <c r="D47" s="225">
        <v>5885</v>
      </c>
      <c r="E47" s="237" t="s">
        <v>1432</v>
      </c>
      <c r="F47" s="237" t="s">
        <v>1204</v>
      </c>
      <c r="G47" s="330"/>
      <c r="H47" s="331"/>
      <c r="I47" s="330"/>
      <c r="J47" s="223" t="s">
        <v>1612</v>
      </c>
    </row>
    <row r="48" spans="1:10" ht="15.75" thickBot="1" x14ac:dyDescent="0.3">
      <c r="A48" s="223" t="s">
        <v>337</v>
      </c>
      <c r="B48" s="223" t="s">
        <v>164</v>
      </c>
      <c r="C48" s="225" t="s">
        <v>1431</v>
      </c>
      <c r="D48" s="225">
        <v>5836</v>
      </c>
      <c r="E48" s="237" t="s">
        <v>1432</v>
      </c>
      <c r="F48" s="237" t="s">
        <v>1203</v>
      </c>
      <c r="G48" s="330"/>
      <c r="H48" s="331"/>
      <c r="I48" s="330"/>
      <c r="J48" s="223" t="s">
        <v>1613</v>
      </c>
    </row>
    <row r="49" spans="1:10" ht="15.75" thickBot="1" x14ac:dyDescent="0.3">
      <c r="A49" s="223" t="s">
        <v>202</v>
      </c>
      <c r="B49" s="223" t="s">
        <v>123</v>
      </c>
      <c r="C49" s="225" t="s">
        <v>1431</v>
      </c>
      <c r="D49" s="225">
        <v>5892</v>
      </c>
      <c r="E49" s="237" t="s">
        <v>1432</v>
      </c>
      <c r="F49" s="237" t="s">
        <v>1209</v>
      </c>
      <c r="G49" s="330"/>
      <c r="H49" s="331"/>
      <c r="I49" s="330"/>
      <c r="J49" s="223" t="s">
        <v>1614</v>
      </c>
    </row>
    <row r="50" spans="1:10" ht="15.75" thickBot="1" x14ac:dyDescent="0.3">
      <c r="A50" s="223" t="s">
        <v>795</v>
      </c>
      <c r="B50" s="223" t="s">
        <v>205</v>
      </c>
      <c r="C50" s="225" t="s">
        <v>1431</v>
      </c>
      <c r="D50" s="225">
        <v>5861</v>
      </c>
      <c r="E50" s="237" t="s">
        <v>1432</v>
      </c>
      <c r="F50" s="237" t="s">
        <v>1201</v>
      </c>
      <c r="G50" s="330"/>
      <c r="H50" s="331"/>
      <c r="I50" s="330"/>
      <c r="J50" s="223" t="s">
        <v>1615</v>
      </c>
    </row>
    <row r="51" spans="1:10" ht="15.75" thickBot="1" x14ac:dyDescent="0.3">
      <c r="A51" s="223" t="s">
        <v>155</v>
      </c>
      <c r="B51" s="223" t="s">
        <v>205</v>
      </c>
      <c r="C51" s="225" t="s">
        <v>1431</v>
      </c>
      <c r="D51" s="225">
        <v>5891</v>
      </c>
      <c r="E51" s="237" t="s">
        <v>1432</v>
      </c>
      <c r="F51" s="237" t="s">
        <v>1208</v>
      </c>
      <c r="G51" s="330"/>
      <c r="H51" s="331"/>
      <c r="I51" s="330"/>
      <c r="J51" s="223" t="s">
        <v>1616</v>
      </c>
    </row>
    <row r="52" spans="1:10" ht="15.75" thickBot="1" x14ac:dyDescent="0.3">
      <c r="A52" s="223" t="s">
        <v>186</v>
      </c>
      <c r="B52" s="223" t="s">
        <v>185</v>
      </c>
      <c r="C52" s="225" t="s">
        <v>1431</v>
      </c>
      <c r="D52" s="225">
        <v>5887</v>
      </c>
      <c r="E52" s="237" t="s">
        <v>1432</v>
      </c>
      <c r="F52" s="237" t="s">
        <v>1202</v>
      </c>
      <c r="G52" s="330"/>
      <c r="H52" s="331"/>
      <c r="I52" s="330"/>
      <c r="J52" s="223" t="s">
        <v>1617</v>
      </c>
    </row>
    <row r="53" spans="1:10" ht="15.75" thickBot="1" x14ac:dyDescent="0.3">
      <c r="A53" s="223" t="s">
        <v>1551</v>
      </c>
      <c r="B53" s="223" t="s">
        <v>1550</v>
      </c>
      <c r="C53" s="225" t="s">
        <v>1431</v>
      </c>
      <c r="D53" s="225">
        <v>5877</v>
      </c>
      <c r="E53" s="237" t="s">
        <v>1432</v>
      </c>
      <c r="F53" s="237" t="s">
        <v>1609</v>
      </c>
      <c r="G53" s="330"/>
      <c r="H53" s="331"/>
      <c r="I53" s="330"/>
      <c r="J53" s="223"/>
    </row>
    <row r="54" spans="1:10" ht="15.75" thickBot="1" x14ac:dyDescent="0.3">
      <c r="A54" s="223" t="s">
        <v>1552</v>
      </c>
      <c r="B54" s="223" t="s">
        <v>164</v>
      </c>
      <c r="C54" s="225" t="s">
        <v>1431</v>
      </c>
      <c r="D54" s="225">
        <v>5834</v>
      </c>
      <c r="E54" s="237" t="s">
        <v>1432</v>
      </c>
      <c r="F54" s="237" t="s">
        <v>1207</v>
      </c>
      <c r="G54" s="330"/>
      <c r="H54" s="331"/>
      <c r="I54" s="330"/>
      <c r="J54" s="223"/>
    </row>
  </sheetData>
  <autoFilter ref="A1:J53" xr:uid="{22925BD5-317E-4746-B74D-BEC42B2B0149}"/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1EE8-C9AD-4BD1-B0C5-938523D547B3}">
  <dimension ref="A1:O73"/>
  <sheetViews>
    <sheetView zoomScale="90" zoomScaleNormal="90"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12" style="1" bestFit="1" customWidth="1"/>
    <col min="2" max="2" width="15.28515625" customWidth="1"/>
    <col min="3" max="3" width="8.7109375" customWidth="1"/>
    <col min="4" max="4" width="10.140625" customWidth="1"/>
    <col min="5" max="5" width="8.85546875" customWidth="1"/>
    <col min="6" max="6" width="16.140625" customWidth="1"/>
    <col min="7" max="7" width="17.5703125" customWidth="1"/>
    <col min="8" max="8" width="12" bestFit="1" customWidth="1"/>
    <col min="9" max="9" width="15" customWidth="1"/>
    <col min="10" max="10" width="9.5703125" customWidth="1"/>
    <col min="11" max="11" width="10" style="1" bestFit="1" customWidth="1"/>
    <col min="12" max="12" width="11.7109375" style="1" bestFit="1" customWidth="1"/>
    <col min="13" max="13" width="15.7109375" bestFit="1" customWidth="1"/>
    <col min="14" max="14" width="13.85546875" style="1" customWidth="1"/>
    <col min="15" max="15" width="8.7109375" style="1" customWidth="1"/>
  </cols>
  <sheetData>
    <row r="1" spans="1:15" x14ac:dyDescent="0.25">
      <c r="A1" s="161" t="s">
        <v>1199</v>
      </c>
      <c r="B1" s="161" t="s">
        <v>537</v>
      </c>
      <c r="C1" s="161" t="s">
        <v>538</v>
      </c>
      <c r="D1" s="161" t="s">
        <v>835</v>
      </c>
      <c r="E1" s="161" t="s">
        <v>538</v>
      </c>
      <c r="F1" s="161" t="s">
        <v>4</v>
      </c>
      <c r="G1" s="160"/>
      <c r="H1" s="162" t="s">
        <v>1199</v>
      </c>
      <c r="I1" s="162" t="s">
        <v>537</v>
      </c>
      <c r="J1" s="162" t="s">
        <v>538</v>
      </c>
      <c r="K1" s="162" t="s">
        <v>514</v>
      </c>
      <c r="L1" s="162" t="s">
        <v>535</v>
      </c>
      <c r="M1" s="162" t="s">
        <v>4</v>
      </c>
      <c r="N1" s="162" t="s">
        <v>1196</v>
      </c>
      <c r="O1" s="162" t="s">
        <v>538</v>
      </c>
    </row>
    <row r="2" spans="1:15" x14ac:dyDescent="0.25">
      <c r="A2" s="2" t="s">
        <v>1088</v>
      </c>
      <c r="B2" s="2">
        <v>1</v>
      </c>
      <c r="C2" s="2">
        <v>1</v>
      </c>
      <c r="D2" s="2">
        <v>1</v>
      </c>
      <c r="E2" s="2">
        <v>5</v>
      </c>
      <c r="F2" s="172" t="s">
        <v>142</v>
      </c>
      <c r="G2" s="106"/>
      <c r="H2" s="163" t="s">
        <v>1139</v>
      </c>
      <c r="I2" s="163">
        <v>1</v>
      </c>
      <c r="J2" s="163">
        <v>1</v>
      </c>
      <c r="K2" s="163">
        <v>5829</v>
      </c>
      <c r="L2" s="163" t="s">
        <v>1217</v>
      </c>
      <c r="M2" s="164" t="s">
        <v>142</v>
      </c>
      <c r="N2" s="163">
        <v>2</v>
      </c>
      <c r="O2" s="163">
        <v>15</v>
      </c>
    </row>
    <row r="3" spans="1:15" x14ac:dyDescent="0.25">
      <c r="A3" s="2" t="s">
        <v>1089</v>
      </c>
      <c r="B3" s="2">
        <v>1</v>
      </c>
      <c r="C3" s="2">
        <v>2</v>
      </c>
      <c r="D3" s="2">
        <v>1</v>
      </c>
      <c r="E3" s="2">
        <v>6</v>
      </c>
      <c r="F3" s="172" t="s">
        <v>237</v>
      </c>
      <c r="G3" s="106"/>
      <c r="H3" s="163" t="s">
        <v>1140</v>
      </c>
      <c r="I3" s="163">
        <v>1</v>
      </c>
      <c r="J3" s="163">
        <v>2</v>
      </c>
      <c r="K3" s="163">
        <v>5819</v>
      </c>
      <c r="L3" s="163" t="s">
        <v>1217</v>
      </c>
      <c r="M3" s="164" t="s">
        <v>142</v>
      </c>
      <c r="N3" s="163">
        <v>2</v>
      </c>
      <c r="O3" s="163">
        <v>10</v>
      </c>
    </row>
    <row r="4" spans="1:15" x14ac:dyDescent="0.25">
      <c r="A4" s="2" t="s">
        <v>1090</v>
      </c>
      <c r="B4" s="2">
        <v>1</v>
      </c>
      <c r="C4" s="2">
        <v>3</v>
      </c>
      <c r="D4" s="2">
        <v>1</v>
      </c>
      <c r="E4" s="2">
        <v>8</v>
      </c>
      <c r="F4" s="172" t="s">
        <v>1028</v>
      </c>
      <c r="G4" s="106"/>
      <c r="H4" s="163" t="s">
        <v>1141</v>
      </c>
      <c r="I4" s="163">
        <v>1</v>
      </c>
      <c r="J4" s="163">
        <v>3</v>
      </c>
      <c r="K4" s="163">
        <v>5838</v>
      </c>
      <c r="L4" s="163" t="s">
        <v>1218</v>
      </c>
      <c r="M4" s="164" t="s">
        <v>237</v>
      </c>
      <c r="N4" s="163">
        <v>1</v>
      </c>
      <c r="O4" s="163">
        <v>19</v>
      </c>
    </row>
    <row r="5" spans="1:15" x14ac:dyDescent="0.25">
      <c r="A5" s="2" t="s">
        <v>1091</v>
      </c>
      <c r="B5" s="2">
        <v>1</v>
      </c>
      <c r="C5" s="2">
        <v>4</v>
      </c>
      <c r="D5" s="2">
        <v>1</v>
      </c>
      <c r="E5" s="2">
        <v>9</v>
      </c>
      <c r="F5" s="172" t="s">
        <v>113</v>
      </c>
      <c r="G5" s="106"/>
      <c r="H5" s="163" t="s">
        <v>1142</v>
      </c>
      <c r="I5" s="163">
        <v>1</v>
      </c>
      <c r="J5" s="163">
        <v>4</v>
      </c>
      <c r="K5" s="163">
        <v>5834</v>
      </c>
      <c r="L5" s="163" t="s">
        <v>1217</v>
      </c>
      <c r="M5" s="164" t="s">
        <v>237</v>
      </c>
      <c r="N5" s="163">
        <v>2</v>
      </c>
      <c r="O5" s="163">
        <v>19</v>
      </c>
    </row>
    <row r="6" spans="1:15" x14ac:dyDescent="0.25">
      <c r="A6" s="2" t="s">
        <v>1092</v>
      </c>
      <c r="B6" s="2">
        <v>1</v>
      </c>
      <c r="C6" s="2">
        <v>5</v>
      </c>
      <c r="D6" s="2">
        <v>1</v>
      </c>
      <c r="E6" s="2">
        <v>12</v>
      </c>
      <c r="F6" s="172" t="s">
        <v>127</v>
      </c>
      <c r="G6" s="106"/>
      <c r="H6" s="163" t="s">
        <v>1143</v>
      </c>
      <c r="I6" s="163">
        <v>1</v>
      </c>
      <c r="J6" s="163">
        <v>5</v>
      </c>
      <c r="K6" s="163">
        <v>5857</v>
      </c>
      <c r="L6" s="163" t="s">
        <v>1217</v>
      </c>
      <c r="M6" s="164" t="s">
        <v>1028</v>
      </c>
      <c r="N6" s="163">
        <v>3</v>
      </c>
      <c r="O6" s="163">
        <v>17</v>
      </c>
    </row>
    <row r="7" spans="1:15" x14ac:dyDescent="0.25">
      <c r="A7" s="2" t="s">
        <v>1093</v>
      </c>
      <c r="B7" s="2">
        <v>1</v>
      </c>
      <c r="C7" s="2">
        <v>6</v>
      </c>
      <c r="D7" s="2">
        <v>1</v>
      </c>
      <c r="E7" s="2">
        <v>14</v>
      </c>
      <c r="F7" s="172" t="s">
        <v>244</v>
      </c>
      <c r="G7" s="106"/>
      <c r="H7" s="163" t="s">
        <v>1144</v>
      </c>
      <c r="I7" s="163">
        <v>1</v>
      </c>
      <c r="J7" s="163">
        <v>6</v>
      </c>
      <c r="K7" s="163">
        <v>5858</v>
      </c>
      <c r="L7" s="163" t="s">
        <v>1217</v>
      </c>
      <c r="M7" s="164" t="s">
        <v>1028</v>
      </c>
      <c r="N7" s="163">
        <v>3</v>
      </c>
      <c r="O7" s="163">
        <v>18</v>
      </c>
    </row>
    <row r="8" spans="1:15" x14ac:dyDescent="0.25">
      <c r="A8" s="2" t="s">
        <v>1094</v>
      </c>
      <c r="B8" s="2">
        <v>1</v>
      </c>
      <c r="C8" s="2">
        <v>7</v>
      </c>
      <c r="D8" s="2">
        <v>1</v>
      </c>
      <c r="E8" s="2">
        <v>16</v>
      </c>
      <c r="F8" s="172" t="s">
        <v>239</v>
      </c>
      <c r="G8" s="106"/>
      <c r="H8" s="163" t="s">
        <v>1145</v>
      </c>
      <c r="I8" s="163">
        <v>1</v>
      </c>
      <c r="J8" s="163">
        <v>7</v>
      </c>
      <c r="K8" s="163">
        <v>5811</v>
      </c>
      <c r="L8" s="163" t="s">
        <v>1217</v>
      </c>
      <c r="M8" s="164" t="s">
        <v>113</v>
      </c>
      <c r="N8" s="163">
        <v>4</v>
      </c>
      <c r="O8" s="163">
        <v>15</v>
      </c>
    </row>
    <row r="9" spans="1:15" x14ac:dyDescent="0.25">
      <c r="A9" s="2" t="s">
        <v>1095</v>
      </c>
      <c r="B9" s="2">
        <v>1</v>
      </c>
      <c r="C9" s="2">
        <v>8</v>
      </c>
      <c r="D9" s="2">
        <v>1</v>
      </c>
      <c r="E9" s="2">
        <v>17</v>
      </c>
      <c r="F9" s="172" t="s">
        <v>492</v>
      </c>
      <c r="G9" s="106"/>
      <c r="H9" s="163" t="s">
        <v>1146</v>
      </c>
      <c r="I9" s="163">
        <v>1</v>
      </c>
      <c r="J9" s="163">
        <v>8</v>
      </c>
      <c r="K9" s="163">
        <v>5801</v>
      </c>
      <c r="L9" s="163" t="s">
        <v>1218</v>
      </c>
      <c r="M9" s="164" t="s">
        <v>113</v>
      </c>
      <c r="N9" s="163">
        <v>1</v>
      </c>
      <c r="O9" s="163">
        <v>21</v>
      </c>
    </row>
    <row r="10" spans="1:15" x14ac:dyDescent="0.25">
      <c r="A10" s="2" t="s">
        <v>1096</v>
      </c>
      <c r="B10" s="2">
        <v>1</v>
      </c>
      <c r="C10" s="2">
        <v>9</v>
      </c>
      <c r="D10" s="2">
        <v>1</v>
      </c>
      <c r="E10" s="2">
        <v>18</v>
      </c>
      <c r="F10" s="172" t="s">
        <v>200</v>
      </c>
      <c r="G10" s="106"/>
      <c r="H10" s="163" t="s">
        <v>1147</v>
      </c>
      <c r="I10" s="163">
        <v>1</v>
      </c>
      <c r="J10" s="163">
        <v>9</v>
      </c>
      <c r="K10" s="163">
        <v>5824</v>
      </c>
      <c r="L10" s="163" t="s">
        <v>1218</v>
      </c>
      <c r="M10" s="164" t="s">
        <v>127</v>
      </c>
      <c r="N10" s="163">
        <v>1</v>
      </c>
      <c r="O10" s="163">
        <v>9</v>
      </c>
    </row>
    <row r="11" spans="1:15" x14ac:dyDescent="0.25">
      <c r="A11" s="2" t="s">
        <v>1097</v>
      </c>
      <c r="B11" s="2">
        <v>1</v>
      </c>
      <c r="C11" s="2">
        <v>10</v>
      </c>
      <c r="D11" s="2">
        <v>1</v>
      </c>
      <c r="E11" s="2">
        <v>19</v>
      </c>
      <c r="F11" s="172" t="s">
        <v>1137</v>
      </c>
      <c r="G11" s="106"/>
      <c r="H11" s="163" t="s">
        <v>1148</v>
      </c>
      <c r="I11" s="163">
        <v>1</v>
      </c>
      <c r="J11" s="163">
        <v>10</v>
      </c>
      <c r="K11" s="163">
        <v>5826</v>
      </c>
      <c r="L11" s="163" t="s">
        <v>1217</v>
      </c>
      <c r="M11" s="164" t="s">
        <v>127</v>
      </c>
      <c r="N11" s="163">
        <v>4</v>
      </c>
      <c r="O11" s="163">
        <v>14</v>
      </c>
    </row>
    <row r="12" spans="1:15" x14ac:dyDescent="0.25">
      <c r="A12" s="2" t="s">
        <v>1098</v>
      </c>
      <c r="B12" s="2">
        <v>1</v>
      </c>
      <c r="C12" s="2">
        <v>11</v>
      </c>
      <c r="D12" s="2">
        <v>1</v>
      </c>
      <c r="E12" s="2">
        <v>20</v>
      </c>
      <c r="F12" s="172" t="s">
        <v>324</v>
      </c>
      <c r="G12" s="106"/>
      <c r="H12" s="163" t="s">
        <v>1149</v>
      </c>
      <c r="I12" s="163">
        <v>1</v>
      </c>
      <c r="J12" s="163">
        <v>11</v>
      </c>
      <c r="K12" s="163">
        <v>5853</v>
      </c>
      <c r="L12" s="163" t="s">
        <v>1217</v>
      </c>
      <c r="M12" s="219" t="s">
        <v>1399</v>
      </c>
      <c r="N12" s="163">
        <v>3</v>
      </c>
      <c r="O12" s="163">
        <v>13</v>
      </c>
    </row>
    <row r="13" spans="1:15" x14ac:dyDescent="0.25">
      <c r="A13" s="2" t="s">
        <v>1099</v>
      </c>
      <c r="B13" s="2">
        <v>1</v>
      </c>
      <c r="C13" s="2">
        <v>12</v>
      </c>
      <c r="D13" s="2">
        <v>1</v>
      </c>
      <c r="E13" s="2">
        <v>21</v>
      </c>
      <c r="F13" s="172" t="s">
        <v>999</v>
      </c>
      <c r="G13" s="106"/>
      <c r="H13" s="163" t="s">
        <v>1150</v>
      </c>
      <c r="I13" s="163">
        <v>1</v>
      </c>
      <c r="J13" s="163">
        <v>12</v>
      </c>
      <c r="K13" s="163">
        <v>5854</v>
      </c>
      <c r="L13" s="163" t="s">
        <v>1217</v>
      </c>
      <c r="M13" s="219" t="s">
        <v>1399</v>
      </c>
      <c r="N13" s="163">
        <v>4</v>
      </c>
      <c r="O13" s="163">
        <v>10</v>
      </c>
    </row>
    <row r="14" spans="1:15" x14ac:dyDescent="0.25">
      <c r="A14" s="2" t="s">
        <v>1100</v>
      </c>
      <c r="B14" s="2">
        <v>1</v>
      </c>
      <c r="C14" s="2">
        <v>13</v>
      </c>
      <c r="D14" s="2">
        <v>1</v>
      </c>
      <c r="E14" s="2">
        <v>22</v>
      </c>
      <c r="F14" s="172" t="s">
        <v>679</v>
      </c>
      <c r="G14" s="106"/>
      <c r="H14" s="163" t="s">
        <v>1151</v>
      </c>
      <c r="I14" s="163">
        <v>1</v>
      </c>
      <c r="J14" s="163">
        <v>13</v>
      </c>
      <c r="K14" s="163">
        <v>5804</v>
      </c>
      <c r="L14" s="163" t="s">
        <v>1218</v>
      </c>
      <c r="M14" s="164" t="s">
        <v>239</v>
      </c>
      <c r="N14" s="163">
        <v>1</v>
      </c>
      <c r="O14" s="163">
        <v>20</v>
      </c>
    </row>
    <row r="15" spans="1:15" x14ac:dyDescent="0.25">
      <c r="A15" s="2" t="s">
        <v>1101</v>
      </c>
      <c r="B15" s="2">
        <v>1</v>
      </c>
      <c r="C15" s="2">
        <v>14</v>
      </c>
      <c r="D15" s="2">
        <v>1</v>
      </c>
      <c r="E15" s="2">
        <v>23</v>
      </c>
      <c r="F15" s="172" t="s">
        <v>96</v>
      </c>
      <c r="G15" s="106"/>
      <c r="H15" s="163" t="s">
        <v>1152</v>
      </c>
      <c r="I15" s="163">
        <v>1</v>
      </c>
      <c r="J15" s="163">
        <v>14</v>
      </c>
      <c r="K15" s="163">
        <v>5805</v>
      </c>
      <c r="L15" s="163" t="s">
        <v>1217</v>
      </c>
      <c r="M15" s="164" t="s">
        <v>239</v>
      </c>
      <c r="N15" s="163">
        <v>4</v>
      </c>
      <c r="O15" s="163">
        <v>1</v>
      </c>
    </row>
    <row r="16" spans="1:15" x14ac:dyDescent="0.25">
      <c r="A16" s="2" t="s">
        <v>1102</v>
      </c>
      <c r="B16" s="2">
        <v>1</v>
      </c>
      <c r="C16" s="2">
        <v>15</v>
      </c>
      <c r="D16" s="2">
        <v>2</v>
      </c>
      <c r="E16" s="2">
        <v>10</v>
      </c>
      <c r="F16" s="172" t="s">
        <v>1346</v>
      </c>
      <c r="G16" s="106"/>
      <c r="H16" s="163" t="s">
        <v>1153</v>
      </c>
      <c r="I16" s="163">
        <v>1</v>
      </c>
      <c r="J16" s="163">
        <v>15</v>
      </c>
      <c r="K16" s="163">
        <v>5831</v>
      </c>
      <c r="L16" s="163" t="s">
        <v>1218</v>
      </c>
      <c r="M16" s="164" t="s">
        <v>492</v>
      </c>
      <c r="N16" s="163">
        <v>1</v>
      </c>
      <c r="O16" s="163">
        <v>16</v>
      </c>
    </row>
    <row r="17" spans="1:15" x14ac:dyDescent="0.25">
      <c r="A17" s="2" t="s">
        <v>1103</v>
      </c>
      <c r="B17" s="2">
        <v>1</v>
      </c>
      <c r="C17" s="2">
        <v>16</v>
      </c>
      <c r="D17" s="2">
        <v>1</v>
      </c>
      <c r="E17" s="2">
        <v>28</v>
      </c>
      <c r="F17" s="172" t="s">
        <v>1136</v>
      </c>
      <c r="G17" s="106"/>
      <c r="H17" s="163" t="s">
        <v>1154</v>
      </c>
      <c r="I17" s="163">
        <v>1</v>
      </c>
      <c r="J17" s="163">
        <v>16</v>
      </c>
      <c r="K17" s="163">
        <v>5850</v>
      </c>
      <c r="L17" s="163" t="s">
        <v>1217</v>
      </c>
      <c r="M17" s="164" t="s">
        <v>492</v>
      </c>
      <c r="N17" s="163">
        <v>3</v>
      </c>
      <c r="O17" s="163">
        <v>10</v>
      </c>
    </row>
    <row r="18" spans="1:15" x14ac:dyDescent="0.25">
      <c r="A18" s="2" t="s">
        <v>1104</v>
      </c>
      <c r="B18" s="2">
        <v>1</v>
      </c>
      <c r="C18" s="2">
        <v>17</v>
      </c>
      <c r="D18" s="2">
        <v>1</v>
      </c>
      <c r="E18" s="2">
        <v>29</v>
      </c>
      <c r="F18" s="172" t="s">
        <v>1136</v>
      </c>
      <c r="G18" s="106"/>
      <c r="H18" s="163" t="s">
        <v>1155</v>
      </c>
      <c r="I18" s="163">
        <v>1</v>
      </c>
      <c r="J18" s="163">
        <v>17</v>
      </c>
      <c r="K18" s="163">
        <v>5810</v>
      </c>
      <c r="L18" s="163" t="s">
        <v>1218</v>
      </c>
      <c r="M18" s="164" t="s">
        <v>200</v>
      </c>
      <c r="N18" s="163">
        <v>1</v>
      </c>
      <c r="O18" s="163">
        <v>18</v>
      </c>
    </row>
    <row r="19" spans="1:15" x14ac:dyDescent="0.25">
      <c r="A19" s="2" t="s">
        <v>1105</v>
      </c>
      <c r="B19" s="2">
        <v>1</v>
      </c>
      <c r="C19" s="2">
        <v>18</v>
      </c>
      <c r="D19" s="2">
        <v>1</v>
      </c>
      <c r="E19" s="2">
        <v>24</v>
      </c>
      <c r="F19" s="172" t="s">
        <v>1073</v>
      </c>
      <c r="G19" s="106"/>
      <c r="H19" s="163" t="s">
        <v>1156</v>
      </c>
      <c r="I19" s="163">
        <v>1</v>
      </c>
      <c r="J19" s="163">
        <v>18</v>
      </c>
      <c r="K19" s="163">
        <v>5815</v>
      </c>
      <c r="L19" s="163" t="s">
        <v>1217</v>
      </c>
      <c r="M19" s="164" t="s">
        <v>200</v>
      </c>
      <c r="N19" s="163">
        <v>3</v>
      </c>
      <c r="O19" s="163">
        <v>5</v>
      </c>
    </row>
    <row r="20" spans="1:15" x14ac:dyDescent="0.25">
      <c r="A20" s="2" t="s">
        <v>1106</v>
      </c>
      <c r="B20" s="2">
        <v>1</v>
      </c>
      <c r="C20" s="2">
        <v>19</v>
      </c>
      <c r="D20" s="2">
        <v>1</v>
      </c>
      <c r="E20" s="2">
        <v>30</v>
      </c>
      <c r="F20" s="172" t="s">
        <v>345</v>
      </c>
      <c r="G20" s="106"/>
      <c r="H20" s="163" t="s">
        <v>1157</v>
      </c>
      <c r="I20" s="163">
        <v>1</v>
      </c>
      <c r="J20" s="163">
        <v>19</v>
      </c>
      <c r="K20" s="163">
        <v>5847</v>
      </c>
      <c r="L20" s="163" t="s">
        <v>1217</v>
      </c>
      <c r="M20" s="164" t="s">
        <v>1137</v>
      </c>
      <c r="N20" s="163">
        <v>3</v>
      </c>
      <c r="O20" s="163">
        <v>2</v>
      </c>
    </row>
    <row r="21" spans="1:15" x14ac:dyDescent="0.25">
      <c r="A21" s="2" t="s">
        <v>1107</v>
      </c>
      <c r="B21" s="2">
        <v>1</v>
      </c>
      <c r="C21" s="2">
        <v>20</v>
      </c>
      <c r="D21" s="2">
        <v>1</v>
      </c>
      <c r="E21" s="2">
        <v>33</v>
      </c>
      <c r="F21" s="218" t="s">
        <v>1440</v>
      </c>
      <c r="G21" s="106"/>
      <c r="H21" s="163" t="s">
        <v>1158</v>
      </c>
      <c r="I21" s="163">
        <v>1</v>
      </c>
      <c r="J21" s="163">
        <v>20</v>
      </c>
      <c r="K21" s="163">
        <v>5865</v>
      </c>
      <c r="L21" s="163" t="s">
        <v>1218</v>
      </c>
      <c r="M21" s="164" t="s">
        <v>1137</v>
      </c>
      <c r="N21" s="163">
        <v>1</v>
      </c>
      <c r="O21" s="163">
        <v>8</v>
      </c>
    </row>
    <row r="22" spans="1:15" x14ac:dyDescent="0.25">
      <c r="A22" s="2" t="s">
        <v>1108</v>
      </c>
      <c r="B22" s="2">
        <v>1</v>
      </c>
      <c r="C22" s="2">
        <v>21</v>
      </c>
      <c r="D22" s="2">
        <v>1</v>
      </c>
      <c r="E22" s="2">
        <v>36</v>
      </c>
      <c r="F22" s="172" t="s">
        <v>751</v>
      </c>
      <c r="G22" s="106"/>
      <c r="H22" s="163" t="s">
        <v>1159</v>
      </c>
      <c r="I22" s="163">
        <v>1</v>
      </c>
      <c r="J22" s="163">
        <v>21</v>
      </c>
      <c r="K22" s="163">
        <v>5802</v>
      </c>
      <c r="L22" s="163" t="s">
        <v>1218</v>
      </c>
      <c r="M22" s="164" t="s">
        <v>324</v>
      </c>
      <c r="N22" s="163">
        <v>1</v>
      </c>
      <c r="O22" s="163">
        <v>15</v>
      </c>
    </row>
    <row r="23" spans="1:15" x14ac:dyDescent="0.25">
      <c r="A23" s="2" t="s">
        <v>1109</v>
      </c>
      <c r="B23" s="2">
        <v>1</v>
      </c>
      <c r="C23" s="2">
        <v>22</v>
      </c>
      <c r="D23" s="2">
        <v>1</v>
      </c>
      <c r="E23" s="2">
        <v>37</v>
      </c>
      <c r="F23" s="172" t="s">
        <v>715</v>
      </c>
      <c r="G23" s="106"/>
      <c r="H23" s="163" t="s">
        <v>1160</v>
      </c>
      <c r="I23" s="163">
        <v>1</v>
      </c>
      <c r="J23" s="163">
        <v>22</v>
      </c>
      <c r="K23" s="163">
        <v>5827</v>
      </c>
      <c r="L23" s="163" t="s">
        <v>1217</v>
      </c>
      <c r="M23" s="164" t="s">
        <v>324</v>
      </c>
      <c r="N23" s="163">
        <v>4</v>
      </c>
      <c r="O23" s="163">
        <v>7</v>
      </c>
    </row>
    <row r="24" spans="1:15" x14ac:dyDescent="0.25">
      <c r="A24" s="2" t="s">
        <v>1110</v>
      </c>
      <c r="B24" s="2">
        <v>1</v>
      </c>
      <c r="C24" s="2">
        <v>23</v>
      </c>
      <c r="D24" s="2">
        <v>1</v>
      </c>
      <c r="E24" s="2">
        <v>38</v>
      </c>
      <c r="F24" s="172" t="s">
        <v>510</v>
      </c>
      <c r="G24" s="106"/>
      <c r="H24" s="163" t="s">
        <v>1161</v>
      </c>
      <c r="I24" s="163">
        <v>1</v>
      </c>
      <c r="J24" s="163">
        <v>23</v>
      </c>
      <c r="K24" s="163">
        <v>5867</v>
      </c>
      <c r="L24" s="163" t="s">
        <v>1217</v>
      </c>
      <c r="M24" s="164" t="s">
        <v>999</v>
      </c>
      <c r="N24" s="163">
        <v>2</v>
      </c>
      <c r="O24" s="163">
        <v>7</v>
      </c>
    </row>
    <row r="25" spans="1:15" x14ac:dyDescent="0.25">
      <c r="A25" s="2" t="s">
        <v>1111</v>
      </c>
      <c r="B25" s="2">
        <v>1</v>
      </c>
      <c r="C25" s="2">
        <v>24</v>
      </c>
      <c r="D25" s="2">
        <v>1</v>
      </c>
      <c r="E25" s="2">
        <v>39</v>
      </c>
      <c r="F25" s="218" t="s">
        <v>1439</v>
      </c>
      <c r="G25" s="106"/>
      <c r="H25" s="163" t="s">
        <v>1162</v>
      </c>
      <c r="I25" s="163">
        <v>1</v>
      </c>
      <c r="J25" s="163">
        <v>24</v>
      </c>
      <c r="K25" s="163">
        <v>5868</v>
      </c>
      <c r="L25" s="163" t="s">
        <v>1218</v>
      </c>
      <c r="M25" s="164" t="s">
        <v>999</v>
      </c>
      <c r="N25" s="163">
        <v>1</v>
      </c>
      <c r="O25" s="163">
        <v>5</v>
      </c>
    </row>
    <row r="26" spans="1:15" x14ac:dyDescent="0.25">
      <c r="A26" s="2" t="s">
        <v>1112</v>
      </c>
      <c r="B26" s="2">
        <v>2</v>
      </c>
      <c r="C26" s="2">
        <v>1</v>
      </c>
      <c r="D26" s="2">
        <v>1</v>
      </c>
      <c r="E26" s="2">
        <v>40</v>
      </c>
      <c r="F26" s="172" t="s">
        <v>134</v>
      </c>
      <c r="G26" s="106"/>
      <c r="H26" s="163" t="s">
        <v>1163</v>
      </c>
      <c r="I26" s="163">
        <v>2</v>
      </c>
      <c r="J26" s="163">
        <v>1</v>
      </c>
      <c r="K26" s="163">
        <v>5876</v>
      </c>
      <c r="L26" s="163" t="s">
        <v>1217</v>
      </c>
      <c r="M26" s="164" t="s">
        <v>679</v>
      </c>
      <c r="N26" s="163">
        <v>2</v>
      </c>
      <c r="O26" s="163">
        <v>16</v>
      </c>
    </row>
    <row r="27" spans="1:15" x14ac:dyDescent="0.25">
      <c r="A27" s="2" t="s">
        <v>1113</v>
      </c>
      <c r="B27" s="2">
        <v>2</v>
      </c>
      <c r="C27" s="2">
        <v>2</v>
      </c>
      <c r="D27" s="2">
        <v>1</v>
      </c>
      <c r="E27" s="2">
        <v>42</v>
      </c>
      <c r="F27" s="172" t="s">
        <v>137</v>
      </c>
      <c r="G27" s="106"/>
      <c r="H27" s="163" t="s">
        <v>1164</v>
      </c>
      <c r="I27" s="163">
        <v>2</v>
      </c>
      <c r="J27" s="163">
        <v>2</v>
      </c>
      <c r="K27" s="163">
        <v>5879</v>
      </c>
      <c r="L27" s="163" t="s">
        <v>1218</v>
      </c>
      <c r="M27" s="164" t="s">
        <v>679</v>
      </c>
      <c r="N27" s="163">
        <v>1</v>
      </c>
      <c r="O27" s="163">
        <v>11</v>
      </c>
    </row>
    <row r="28" spans="1:15" x14ac:dyDescent="0.25">
      <c r="A28" s="2" t="s">
        <v>1114</v>
      </c>
      <c r="B28" s="2">
        <v>2</v>
      </c>
      <c r="C28" s="2">
        <v>3</v>
      </c>
      <c r="D28" s="2">
        <v>1</v>
      </c>
      <c r="E28" s="2">
        <v>43</v>
      </c>
      <c r="F28" s="172" t="s">
        <v>84</v>
      </c>
      <c r="G28" s="106"/>
      <c r="H28" s="163" t="s">
        <v>1165</v>
      </c>
      <c r="I28" s="163">
        <v>2</v>
      </c>
      <c r="J28" s="163">
        <v>3</v>
      </c>
      <c r="K28" s="163">
        <v>5806</v>
      </c>
      <c r="L28" s="163" t="s">
        <v>1218</v>
      </c>
      <c r="M28" s="164" t="s">
        <v>96</v>
      </c>
      <c r="N28" s="163">
        <v>1</v>
      </c>
      <c r="O28" s="163">
        <v>4</v>
      </c>
    </row>
    <row r="29" spans="1:15" x14ac:dyDescent="0.25">
      <c r="A29" s="2" t="s">
        <v>1115</v>
      </c>
      <c r="B29" s="2">
        <v>2</v>
      </c>
      <c r="C29" s="2">
        <v>4</v>
      </c>
      <c r="D29" s="2">
        <v>1</v>
      </c>
      <c r="E29" s="2">
        <v>45</v>
      </c>
      <c r="F29" s="172" t="s">
        <v>61</v>
      </c>
      <c r="G29" s="106"/>
      <c r="H29" s="163" t="s">
        <v>1166</v>
      </c>
      <c r="I29" s="163">
        <v>2</v>
      </c>
      <c r="J29" s="163">
        <v>4</v>
      </c>
      <c r="K29" s="163">
        <v>5807</v>
      </c>
      <c r="L29" s="163" t="s">
        <v>1217</v>
      </c>
      <c r="M29" s="164" t="s">
        <v>96</v>
      </c>
      <c r="N29" s="163">
        <v>2</v>
      </c>
      <c r="O29" s="163">
        <v>4</v>
      </c>
    </row>
    <row r="30" spans="1:15" x14ac:dyDescent="0.25">
      <c r="A30" s="2" t="s">
        <v>1116</v>
      </c>
      <c r="B30" s="2">
        <v>2</v>
      </c>
      <c r="C30" s="2">
        <v>5</v>
      </c>
      <c r="D30" s="2">
        <v>2</v>
      </c>
      <c r="E30" s="2">
        <v>3</v>
      </c>
      <c r="F30" s="172" t="s">
        <v>548</v>
      </c>
      <c r="G30" s="106"/>
      <c r="H30" s="163" t="s">
        <v>1167</v>
      </c>
      <c r="I30" s="163">
        <v>2</v>
      </c>
      <c r="J30" s="163">
        <v>5</v>
      </c>
      <c r="K30" s="163">
        <v>5800</v>
      </c>
      <c r="L30" s="163" t="s">
        <v>1218</v>
      </c>
      <c r="M30" s="164" t="s">
        <v>1136</v>
      </c>
      <c r="N30" s="163">
        <v>1</v>
      </c>
      <c r="O30" s="163">
        <v>1</v>
      </c>
    </row>
    <row r="31" spans="1:15" x14ac:dyDescent="0.25">
      <c r="A31" s="2" t="s">
        <v>1117</v>
      </c>
      <c r="B31" s="2">
        <v>2</v>
      </c>
      <c r="C31" s="2">
        <v>6</v>
      </c>
      <c r="D31" s="2">
        <v>2</v>
      </c>
      <c r="E31" s="2">
        <v>4</v>
      </c>
      <c r="F31" s="172" t="s">
        <v>1075</v>
      </c>
      <c r="G31" s="106"/>
      <c r="H31" s="163" t="s">
        <v>1168</v>
      </c>
      <c r="I31" s="163">
        <v>2</v>
      </c>
      <c r="J31" s="163">
        <v>6</v>
      </c>
      <c r="K31" s="163">
        <v>5855</v>
      </c>
      <c r="L31" s="163" t="s">
        <v>1217</v>
      </c>
      <c r="M31" s="164" t="s">
        <v>1136</v>
      </c>
      <c r="N31" s="163">
        <v>3</v>
      </c>
      <c r="O31" s="163">
        <v>15</v>
      </c>
    </row>
    <row r="32" spans="1:15" x14ac:dyDescent="0.25">
      <c r="A32" s="2" t="s">
        <v>1118</v>
      </c>
      <c r="B32" s="2">
        <v>2</v>
      </c>
      <c r="C32" s="2">
        <v>7</v>
      </c>
      <c r="D32" s="2" t="s">
        <v>1401</v>
      </c>
      <c r="E32" s="2">
        <v>45</v>
      </c>
      <c r="F32" s="172" t="s">
        <v>1400</v>
      </c>
      <c r="G32" s="106"/>
      <c r="H32" s="163" t="s">
        <v>1169</v>
      </c>
      <c r="I32" s="163">
        <v>2</v>
      </c>
      <c r="J32" s="163">
        <v>7</v>
      </c>
      <c r="K32" s="163">
        <v>5820</v>
      </c>
      <c r="L32" s="163" t="s">
        <v>1217</v>
      </c>
      <c r="M32" s="164" t="s">
        <v>345</v>
      </c>
      <c r="N32" s="163">
        <v>3</v>
      </c>
      <c r="O32" s="163">
        <v>14</v>
      </c>
    </row>
    <row r="33" spans="1:15" x14ac:dyDescent="0.25">
      <c r="A33" s="2" t="s">
        <v>1119</v>
      </c>
      <c r="B33" s="2">
        <v>2</v>
      </c>
      <c r="C33" s="2">
        <v>8</v>
      </c>
      <c r="D33" s="2">
        <v>2</v>
      </c>
      <c r="E33" s="2">
        <v>7</v>
      </c>
      <c r="F33" s="172" t="s">
        <v>1197</v>
      </c>
      <c r="G33" s="106"/>
      <c r="H33" s="163" t="s">
        <v>1170</v>
      </c>
      <c r="I33" s="163">
        <v>2</v>
      </c>
      <c r="J33" s="163">
        <v>8</v>
      </c>
      <c r="K33" s="163">
        <v>5816</v>
      </c>
      <c r="L33" s="163" t="s">
        <v>1218</v>
      </c>
      <c r="M33" s="164" t="s">
        <v>345</v>
      </c>
      <c r="N33" s="163">
        <v>1</v>
      </c>
      <c r="O33" s="163">
        <v>10</v>
      </c>
    </row>
    <row r="34" spans="1:15" x14ac:dyDescent="0.25">
      <c r="A34" s="2" t="s">
        <v>1120</v>
      </c>
      <c r="B34" s="2">
        <v>2</v>
      </c>
      <c r="C34" s="2">
        <v>9</v>
      </c>
      <c r="D34" s="2"/>
      <c r="E34" s="2"/>
      <c r="F34" s="172" t="s">
        <v>1347</v>
      </c>
      <c r="G34" s="106"/>
      <c r="H34" s="163" t="s">
        <v>1171</v>
      </c>
      <c r="I34" s="163">
        <v>2</v>
      </c>
      <c r="J34" s="163">
        <v>9</v>
      </c>
      <c r="K34" s="163">
        <v>5862</v>
      </c>
      <c r="L34" s="163" t="s">
        <v>1217</v>
      </c>
      <c r="M34" s="219" t="s">
        <v>1399</v>
      </c>
      <c r="N34" s="163">
        <v>3</v>
      </c>
      <c r="O34" s="163">
        <v>21</v>
      </c>
    </row>
    <row r="35" spans="1:15" x14ac:dyDescent="0.25">
      <c r="A35" s="2" t="s">
        <v>1121</v>
      </c>
      <c r="B35" s="2">
        <v>2</v>
      </c>
      <c r="C35" s="2">
        <v>10</v>
      </c>
      <c r="D35" s="2" t="s">
        <v>1401</v>
      </c>
      <c r="E35" s="2">
        <v>48</v>
      </c>
      <c r="F35" s="172" t="s">
        <v>1215</v>
      </c>
      <c r="G35" s="106"/>
      <c r="H35" s="163" t="s">
        <v>1172</v>
      </c>
      <c r="I35" s="163">
        <v>2</v>
      </c>
      <c r="J35" s="163">
        <v>10</v>
      </c>
      <c r="K35" s="163">
        <v>5860</v>
      </c>
      <c r="L35" s="163" t="s">
        <v>1217</v>
      </c>
      <c r="M35" s="219" t="s">
        <v>1399</v>
      </c>
      <c r="N35" s="163">
        <v>3</v>
      </c>
      <c r="O35" s="163">
        <v>20</v>
      </c>
    </row>
    <row r="36" spans="1:15" x14ac:dyDescent="0.25">
      <c r="A36" s="2" t="s">
        <v>1122</v>
      </c>
      <c r="B36" s="2">
        <v>2</v>
      </c>
      <c r="C36" s="2">
        <v>11</v>
      </c>
      <c r="D36" s="2"/>
      <c r="E36" s="2"/>
      <c r="F36" s="172" t="s">
        <v>1074</v>
      </c>
      <c r="G36" s="106"/>
      <c r="H36" s="163" t="s">
        <v>1173</v>
      </c>
      <c r="I36" s="163">
        <v>2</v>
      </c>
      <c r="J36" s="163">
        <v>11</v>
      </c>
      <c r="K36" s="163">
        <v>5825</v>
      </c>
      <c r="L36" s="163" t="s">
        <v>1217</v>
      </c>
      <c r="M36" s="164" t="s">
        <v>244</v>
      </c>
      <c r="N36" s="163">
        <v>2</v>
      </c>
      <c r="O36" s="163">
        <v>11</v>
      </c>
    </row>
    <row r="37" spans="1:15" x14ac:dyDescent="0.25">
      <c r="A37" s="2" t="s">
        <v>1123</v>
      </c>
      <c r="B37" s="2">
        <v>2</v>
      </c>
      <c r="C37" s="2">
        <v>12</v>
      </c>
      <c r="D37" s="2"/>
      <c r="E37" s="2"/>
      <c r="F37" s="172" t="s">
        <v>1074</v>
      </c>
      <c r="G37" s="106"/>
      <c r="H37" s="163" t="s">
        <v>1174</v>
      </c>
      <c r="I37" s="163">
        <v>2</v>
      </c>
      <c r="J37" s="163">
        <v>12</v>
      </c>
      <c r="K37" s="163">
        <v>5889</v>
      </c>
      <c r="L37" s="163" t="s">
        <v>1217</v>
      </c>
      <c r="M37" s="164" t="s">
        <v>244</v>
      </c>
      <c r="N37" s="163">
        <v>2</v>
      </c>
      <c r="O37" s="163">
        <v>9</v>
      </c>
    </row>
    <row r="38" spans="1:15" x14ac:dyDescent="0.25">
      <c r="A38" s="2" t="s">
        <v>1124</v>
      </c>
      <c r="B38" s="2">
        <v>2</v>
      </c>
      <c r="C38" s="2">
        <v>13</v>
      </c>
      <c r="D38" s="2">
        <v>2</v>
      </c>
      <c r="E38" s="2">
        <v>30</v>
      </c>
      <c r="F38" s="172" t="s">
        <v>171</v>
      </c>
      <c r="G38" s="106"/>
      <c r="H38" s="163" t="s">
        <v>1175</v>
      </c>
      <c r="I38" s="163">
        <v>2</v>
      </c>
      <c r="J38" s="163">
        <v>13</v>
      </c>
      <c r="K38" s="163">
        <v>5869</v>
      </c>
      <c r="L38" s="163" t="s">
        <v>1218</v>
      </c>
      <c r="M38" s="164" t="s">
        <v>510</v>
      </c>
      <c r="N38" s="163">
        <v>1</v>
      </c>
      <c r="O38" s="163">
        <v>12</v>
      </c>
    </row>
    <row r="39" spans="1:15" x14ac:dyDescent="0.25">
      <c r="A39" s="2" t="s">
        <v>1125</v>
      </c>
      <c r="B39" s="2">
        <v>2</v>
      </c>
      <c r="C39" s="2">
        <v>14</v>
      </c>
      <c r="D39" s="2"/>
      <c r="E39" s="2"/>
      <c r="F39" s="172" t="s">
        <v>1198</v>
      </c>
      <c r="G39" s="106"/>
      <c r="H39" s="163" t="s">
        <v>1176</v>
      </c>
      <c r="I39" s="163">
        <v>2</v>
      </c>
      <c r="J39" s="163">
        <v>14</v>
      </c>
      <c r="K39" s="163">
        <v>5803</v>
      </c>
      <c r="L39" s="163" t="s">
        <v>1217</v>
      </c>
      <c r="M39" s="164" t="s">
        <v>510</v>
      </c>
      <c r="N39" s="163">
        <v>2</v>
      </c>
      <c r="O39" s="163">
        <v>2</v>
      </c>
    </row>
    <row r="40" spans="1:15" x14ac:dyDescent="0.25">
      <c r="A40" s="2" t="s">
        <v>1126</v>
      </c>
      <c r="B40" s="2">
        <v>2</v>
      </c>
      <c r="C40" s="2" t="s">
        <v>1216</v>
      </c>
      <c r="D40" s="2" t="s">
        <v>1216</v>
      </c>
      <c r="E40" s="2" t="s">
        <v>1216</v>
      </c>
      <c r="F40" s="2" t="s">
        <v>1216</v>
      </c>
      <c r="G40" s="106"/>
      <c r="H40" s="163" t="s">
        <v>1177</v>
      </c>
      <c r="I40" s="163">
        <v>2</v>
      </c>
      <c r="J40" s="163">
        <v>15</v>
      </c>
      <c r="K40" s="163">
        <v>5818</v>
      </c>
      <c r="L40" s="163" t="s">
        <v>1218</v>
      </c>
      <c r="M40" s="164" t="s">
        <v>751</v>
      </c>
      <c r="N40" s="163">
        <v>1</v>
      </c>
      <c r="O40" s="163">
        <v>3</v>
      </c>
    </row>
    <row r="41" spans="1:15" x14ac:dyDescent="0.25">
      <c r="A41" s="2" t="s">
        <v>1127</v>
      </c>
      <c r="B41" s="2">
        <v>2</v>
      </c>
      <c r="C41" s="2" t="s">
        <v>1216</v>
      </c>
      <c r="D41" s="2" t="s">
        <v>1216</v>
      </c>
      <c r="E41" s="2" t="s">
        <v>1216</v>
      </c>
      <c r="F41" s="2" t="s">
        <v>1216</v>
      </c>
      <c r="G41" s="106"/>
      <c r="H41" s="163" t="s">
        <v>1178</v>
      </c>
      <c r="I41" s="163">
        <v>2</v>
      </c>
      <c r="J41" s="163">
        <v>16</v>
      </c>
      <c r="K41" s="163">
        <v>5817</v>
      </c>
      <c r="L41" s="163" t="s">
        <v>1217</v>
      </c>
      <c r="M41" s="164" t="s">
        <v>751</v>
      </c>
      <c r="N41" s="163">
        <v>2</v>
      </c>
      <c r="O41" s="163">
        <v>14</v>
      </c>
    </row>
    <row r="42" spans="1:15" x14ac:dyDescent="0.25">
      <c r="A42" s="2" t="s">
        <v>1128</v>
      </c>
      <c r="B42" s="2">
        <v>2</v>
      </c>
      <c r="C42" s="2" t="s">
        <v>1216</v>
      </c>
      <c r="D42" s="2" t="s">
        <v>1216</v>
      </c>
      <c r="E42" s="2" t="s">
        <v>1216</v>
      </c>
      <c r="F42" s="2" t="s">
        <v>1216</v>
      </c>
      <c r="G42" s="106"/>
      <c r="H42" s="163" t="s">
        <v>1179</v>
      </c>
      <c r="I42" s="163">
        <v>2</v>
      </c>
      <c r="J42" s="163">
        <v>17</v>
      </c>
      <c r="K42" s="163">
        <v>5875</v>
      </c>
      <c r="L42" s="163" t="s">
        <v>1217</v>
      </c>
      <c r="M42" s="164" t="s">
        <v>1138</v>
      </c>
      <c r="N42" s="163">
        <v>4</v>
      </c>
      <c r="O42" s="163">
        <v>5</v>
      </c>
    </row>
    <row r="43" spans="1:15" x14ac:dyDescent="0.25">
      <c r="A43" s="2" t="s">
        <v>1129</v>
      </c>
      <c r="B43" s="2">
        <v>2</v>
      </c>
      <c r="C43" s="2" t="s">
        <v>1216</v>
      </c>
      <c r="D43" s="2" t="s">
        <v>1216</v>
      </c>
      <c r="E43" s="2" t="s">
        <v>1216</v>
      </c>
      <c r="F43" s="2" t="s">
        <v>1216</v>
      </c>
      <c r="G43" s="106"/>
      <c r="H43" s="163" t="s">
        <v>1180</v>
      </c>
      <c r="I43" s="163">
        <v>2</v>
      </c>
      <c r="J43" s="163">
        <v>18</v>
      </c>
      <c r="K43" s="163">
        <v>5871</v>
      </c>
      <c r="L43" s="163" t="s">
        <v>1217</v>
      </c>
      <c r="M43" s="164" t="s">
        <v>1138</v>
      </c>
      <c r="N43" s="163">
        <v>4</v>
      </c>
      <c r="O43" s="163">
        <v>2</v>
      </c>
    </row>
    <row r="44" spans="1:15" x14ac:dyDescent="0.25">
      <c r="A44" s="2" t="s">
        <v>1130</v>
      </c>
      <c r="B44" s="2">
        <v>2</v>
      </c>
      <c r="C44" s="2" t="s">
        <v>1216</v>
      </c>
      <c r="D44" s="2" t="s">
        <v>1216</v>
      </c>
      <c r="E44" s="2" t="s">
        <v>1216</v>
      </c>
      <c r="F44" s="2" t="s">
        <v>1216</v>
      </c>
      <c r="G44" s="106"/>
      <c r="H44" s="163" t="s">
        <v>1181</v>
      </c>
      <c r="I44" s="163">
        <v>2</v>
      </c>
      <c r="J44" s="163">
        <v>19</v>
      </c>
      <c r="K44" s="163">
        <v>5812</v>
      </c>
      <c r="L44" s="163" t="s">
        <v>1218</v>
      </c>
      <c r="M44" s="164" t="s">
        <v>134</v>
      </c>
      <c r="N44" s="163">
        <v>1</v>
      </c>
      <c r="O44" s="163">
        <v>6</v>
      </c>
    </row>
    <row r="45" spans="1:15" x14ac:dyDescent="0.25">
      <c r="A45" s="2" t="s">
        <v>1131</v>
      </c>
      <c r="B45" s="2">
        <v>2</v>
      </c>
      <c r="C45" s="2" t="s">
        <v>1216</v>
      </c>
      <c r="D45" s="2" t="s">
        <v>1216</v>
      </c>
      <c r="E45" s="2" t="s">
        <v>1216</v>
      </c>
      <c r="F45" s="2" t="s">
        <v>1216</v>
      </c>
      <c r="G45" s="106"/>
      <c r="H45" s="163" t="s">
        <v>1182</v>
      </c>
      <c r="I45" s="163">
        <v>2</v>
      </c>
      <c r="J45" s="163">
        <v>20</v>
      </c>
      <c r="K45" s="163">
        <v>5813</v>
      </c>
      <c r="L45" s="163" t="s">
        <v>1217</v>
      </c>
      <c r="M45" s="164" t="s">
        <v>134</v>
      </c>
      <c r="N45" s="163">
        <v>2</v>
      </c>
      <c r="O45" s="163">
        <v>8</v>
      </c>
    </row>
    <row r="46" spans="1:15" x14ac:dyDescent="0.25">
      <c r="A46" s="2" t="s">
        <v>1132</v>
      </c>
      <c r="B46" s="2">
        <v>2</v>
      </c>
      <c r="C46" s="2" t="s">
        <v>1216</v>
      </c>
      <c r="D46" s="2" t="s">
        <v>1216</v>
      </c>
      <c r="E46" s="2" t="s">
        <v>1216</v>
      </c>
      <c r="F46" s="2" t="s">
        <v>1216</v>
      </c>
      <c r="G46" s="106"/>
      <c r="H46" s="163" t="s">
        <v>1183</v>
      </c>
      <c r="I46" s="163">
        <v>2</v>
      </c>
      <c r="J46" s="163">
        <v>21</v>
      </c>
      <c r="K46" s="163">
        <v>5841</v>
      </c>
      <c r="L46" s="163" t="s">
        <v>1217</v>
      </c>
      <c r="M46" s="164" t="s">
        <v>137</v>
      </c>
      <c r="N46" s="163">
        <v>3</v>
      </c>
      <c r="O46" s="163">
        <v>1</v>
      </c>
    </row>
    <row r="47" spans="1:15" x14ac:dyDescent="0.25">
      <c r="A47" s="2" t="s">
        <v>1133</v>
      </c>
      <c r="B47" s="2">
        <v>2</v>
      </c>
      <c r="C47" s="2" t="s">
        <v>1216</v>
      </c>
      <c r="D47" s="2" t="s">
        <v>1216</v>
      </c>
      <c r="E47" s="2" t="s">
        <v>1216</v>
      </c>
      <c r="F47" s="2" t="s">
        <v>1216</v>
      </c>
      <c r="G47" s="106"/>
      <c r="H47" s="163" t="s">
        <v>1184</v>
      </c>
      <c r="I47" s="163">
        <v>2</v>
      </c>
      <c r="J47" s="163">
        <v>22</v>
      </c>
      <c r="K47" s="163">
        <v>5814</v>
      </c>
      <c r="L47" s="163" t="s">
        <v>1218</v>
      </c>
      <c r="M47" s="164" t="s">
        <v>137</v>
      </c>
      <c r="N47" s="163">
        <v>1</v>
      </c>
      <c r="O47" s="163">
        <v>7</v>
      </c>
    </row>
    <row r="48" spans="1:15" x14ac:dyDescent="0.25">
      <c r="A48" s="2" t="s">
        <v>1134</v>
      </c>
      <c r="B48" s="2">
        <v>2</v>
      </c>
      <c r="C48" s="2" t="s">
        <v>1216</v>
      </c>
      <c r="D48" s="2" t="s">
        <v>1216</v>
      </c>
      <c r="E48" s="2" t="s">
        <v>1216</v>
      </c>
      <c r="F48" s="2" t="s">
        <v>1216</v>
      </c>
      <c r="G48" s="106"/>
      <c r="H48" s="163" t="s">
        <v>1185</v>
      </c>
      <c r="I48" s="163">
        <v>2</v>
      </c>
      <c r="J48" s="163">
        <v>23</v>
      </c>
      <c r="K48" s="163">
        <v>5882</v>
      </c>
      <c r="L48" s="163" t="s">
        <v>1218</v>
      </c>
      <c r="M48" s="164" t="s">
        <v>84</v>
      </c>
      <c r="N48" s="163">
        <v>1</v>
      </c>
      <c r="O48" s="163">
        <v>24</v>
      </c>
    </row>
    <row r="49" spans="1:15" x14ac:dyDescent="0.25">
      <c r="A49" s="2" t="s">
        <v>1135</v>
      </c>
      <c r="B49" s="2">
        <v>2</v>
      </c>
      <c r="C49" s="2" t="s">
        <v>1216</v>
      </c>
      <c r="D49" s="2" t="s">
        <v>1216</v>
      </c>
      <c r="E49" s="2" t="s">
        <v>1216</v>
      </c>
      <c r="F49" s="2" t="s">
        <v>1216</v>
      </c>
      <c r="G49" s="106"/>
      <c r="H49" s="163" t="s">
        <v>1186</v>
      </c>
      <c r="I49" s="163">
        <v>2</v>
      </c>
      <c r="J49" s="163">
        <v>24</v>
      </c>
      <c r="K49" s="163">
        <v>5830</v>
      </c>
      <c r="L49" s="163" t="s">
        <v>1217</v>
      </c>
      <c r="M49" s="164" t="s">
        <v>84</v>
      </c>
      <c r="N49" s="163">
        <v>2</v>
      </c>
      <c r="O49" s="163">
        <v>13</v>
      </c>
    </row>
    <row r="50" spans="1:15" x14ac:dyDescent="0.25">
      <c r="G50" s="106"/>
      <c r="H50" s="163" t="s">
        <v>1187</v>
      </c>
      <c r="I50" s="163">
        <v>3</v>
      </c>
      <c r="J50" s="163">
        <v>1</v>
      </c>
      <c r="K50" s="163">
        <v>5822</v>
      </c>
      <c r="L50" s="163" t="s">
        <v>1218</v>
      </c>
      <c r="M50" s="164" t="s">
        <v>61</v>
      </c>
      <c r="N50" s="163">
        <v>1</v>
      </c>
      <c r="O50" s="163">
        <v>2</v>
      </c>
    </row>
    <row r="51" spans="1:15" x14ac:dyDescent="0.25">
      <c r="G51" s="106"/>
      <c r="H51" s="163" t="s">
        <v>1188</v>
      </c>
      <c r="I51" s="163">
        <v>3</v>
      </c>
      <c r="J51" s="163">
        <v>2</v>
      </c>
      <c r="K51" s="163">
        <v>5823</v>
      </c>
      <c r="L51" s="163" t="s">
        <v>1217</v>
      </c>
      <c r="M51" s="164" t="s">
        <v>61</v>
      </c>
      <c r="N51" s="163">
        <v>4</v>
      </c>
      <c r="O51" s="163">
        <v>21</v>
      </c>
    </row>
    <row r="52" spans="1:15" x14ac:dyDescent="0.25">
      <c r="G52" s="106"/>
      <c r="H52" s="163" t="s">
        <v>1189</v>
      </c>
      <c r="I52" s="163">
        <v>3</v>
      </c>
      <c r="J52" s="163">
        <v>3</v>
      </c>
      <c r="K52" s="163">
        <v>5851</v>
      </c>
      <c r="L52" s="163" t="s">
        <v>1217</v>
      </c>
      <c r="M52" s="164" t="s">
        <v>548</v>
      </c>
      <c r="N52" s="163">
        <v>3</v>
      </c>
      <c r="O52" s="163">
        <v>11</v>
      </c>
    </row>
    <row r="53" spans="1:15" x14ac:dyDescent="0.25">
      <c r="G53" s="106"/>
      <c r="H53" s="163" t="s">
        <v>1190</v>
      </c>
      <c r="I53" s="163">
        <v>3</v>
      </c>
      <c r="J53" s="163">
        <v>4</v>
      </c>
      <c r="K53" s="163">
        <v>5852</v>
      </c>
      <c r="L53" s="163" t="s">
        <v>1217</v>
      </c>
      <c r="M53" s="164" t="s">
        <v>548</v>
      </c>
      <c r="N53" s="163">
        <v>3</v>
      </c>
      <c r="O53" s="163">
        <v>12</v>
      </c>
    </row>
    <row r="54" spans="1:15" x14ac:dyDescent="0.25">
      <c r="G54" s="106"/>
      <c r="H54" s="163" t="s">
        <v>1191</v>
      </c>
      <c r="I54" s="163">
        <v>3</v>
      </c>
      <c r="J54" s="163">
        <v>5</v>
      </c>
      <c r="K54" s="163">
        <v>5828</v>
      </c>
      <c r="L54" s="163" t="s">
        <v>1217</v>
      </c>
      <c r="M54" s="164" t="s">
        <v>1075</v>
      </c>
      <c r="N54" s="163">
        <v>2</v>
      </c>
      <c r="O54" s="163">
        <v>21</v>
      </c>
    </row>
    <row r="55" spans="1:15" x14ac:dyDescent="0.25">
      <c r="G55" s="106"/>
      <c r="H55" s="163" t="s">
        <v>1192</v>
      </c>
      <c r="I55" s="163">
        <v>3</v>
      </c>
      <c r="J55" s="163">
        <v>6</v>
      </c>
      <c r="K55" s="163">
        <v>5846</v>
      </c>
      <c r="L55" s="163" t="s">
        <v>1217</v>
      </c>
      <c r="M55" s="164" t="s">
        <v>1075</v>
      </c>
      <c r="N55" s="163">
        <v>4</v>
      </c>
      <c r="O55" s="163">
        <v>3</v>
      </c>
    </row>
    <row r="56" spans="1:15" x14ac:dyDescent="0.25">
      <c r="G56" s="106"/>
      <c r="H56" s="163" t="s">
        <v>1193</v>
      </c>
      <c r="I56" s="163">
        <v>3</v>
      </c>
      <c r="J56" s="163">
        <v>7</v>
      </c>
      <c r="K56" s="163"/>
      <c r="L56" s="163"/>
      <c r="M56" s="164"/>
      <c r="N56" s="163"/>
      <c r="O56" s="163"/>
    </row>
    <row r="57" spans="1:15" x14ac:dyDescent="0.25">
      <c r="G57" s="106"/>
      <c r="H57" s="163" t="s">
        <v>1194</v>
      </c>
      <c r="I57" s="163">
        <v>3</v>
      </c>
      <c r="J57" s="163">
        <v>8</v>
      </c>
      <c r="K57" s="163">
        <v>5880</v>
      </c>
      <c r="L57" s="163" t="s">
        <v>1218</v>
      </c>
      <c r="M57" s="164" t="s">
        <v>171</v>
      </c>
      <c r="N57" s="163"/>
      <c r="O57" s="163"/>
    </row>
    <row r="58" spans="1:15" x14ac:dyDescent="0.25">
      <c r="G58" s="106"/>
      <c r="H58" s="163" t="s">
        <v>1195</v>
      </c>
      <c r="I58" s="163">
        <v>3</v>
      </c>
      <c r="J58" s="163">
        <v>9</v>
      </c>
      <c r="K58" s="163">
        <v>5890</v>
      </c>
      <c r="L58" s="163" t="s">
        <v>1217</v>
      </c>
      <c r="M58" s="164" t="s">
        <v>1074</v>
      </c>
      <c r="N58" s="163"/>
      <c r="O58" s="163"/>
    </row>
    <row r="59" spans="1:15" x14ac:dyDescent="0.25">
      <c r="G59" s="106"/>
      <c r="H59" s="163" t="s">
        <v>1200</v>
      </c>
      <c r="I59" s="163">
        <v>3</v>
      </c>
      <c r="J59" s="163">
        <v>10</v>
      </c>
      <c r="K59" s="168"/>
      <c r="L59" s="168"/>
      <c r="M59" s="169"/>
      <c r="N59" s="168"/>
      <c r="O59" s="168"/>
    </row>
    <row r="60" spans="1:15" x14ac:dyDescent="0.25">
      <c r="G60" s="106"/>
      <c r="H60" s="163" t="s">
        <v>1201</v>
      </c>
      <c r="I60" s="163">
        <v>3</v>
      </c>
      <c r="J60" s="163">
        <v>11</v>
      </c>
      <c r="K60" s="168"/>
      <c r="L60" s="168"/>
      <c r="M60" s="169"/>
      <c r="N60" s="168"/>
      <c r="O60" s="168"/>
    </row>
    <row r="61" spans="1:15" x14ac:dyDescent="0.25">
      <c r="G61" s="106"/>
      <c r="H61" s="163" t="s">
        <v>1202</v>
      </c>
      <c r="I61" s="163">
        <v>3</v>
      </c>
      <c r="J61" s="163">
        <v>12</v>
      </c>
      <c r="K61" s="168"/>
      <c r="L61" s="168"/>
      <c r="M61" s="169"/>
      <c r="N61" s="168"/>
      <c r="O61" s="168"/>
    </row>
    <row r="62" spans="1:15" x14ac:dyDescent="0.25">
      <c r="G62" s="106"/>
      <c r="H62" s="163" t="s">
        <v>1203</v>
      </c>
      <c r="I62" s="163">
        <v>3</v>
      </c>
      <c r="J62" s="163">
        <v>13</v>
      </c>
      <c r="K62" s="168"/>
      <c r="L62" s="168"/>
      <c r="M62" s="169"/>
      <c r="N62" s="168"/>
      <c r="O62" s="168"/>
    </row>
    <row r="63" spans="1:15" x14ac:dyDescent="0.25">
      <c r="G63" s="106"/>
      <c r="H63" s="163" t="s">
        <v>1204</v>
      </c>
      <c r="I63" s="163">
        <v>3</v>
      </c>
      <c r="J63" s="163">
        <v>14</v>
      </c>
      <c r="K63" s="168"/>
      <c r="L63" s="168"/>
      <c r="M63" s="169"/>
      <c r="N63" s="168"/>
      <c r="O63" s="168"/>
    </row>
    <row r="64" spans="1:15" x14ac:dyDescent="0.25">
      <c r="G64" s="106"/>
      <c r="H64" s="163" t="s">
        <v>1205</v>
      </c>
      <c r="I64" s="163">
        <v>3</v>
      </c>
      <c r="J64" s="163">
        <v>15</v>
      </c>
      <c r="K64" s="168"/>
      <c r="L64" s="168"/>
      <c r="M64" s="169"/>
      <c r="N64" s="168"/>
      <c r="O64" s="168"/>
    </row>
    <row r="65" spans="7:15" x14ac:dyDescent="0.25">
      <c r="G65" s="106"/>
      <c r="H65" s="163" t="s">
        <v>1206</v>
      </c>
      <c r="I65" s="163">
        <v>3</v>
      </c>
      <c r="J65" s="163">
        <v>16</v>
      </c>
      <c r="K65" s="168"/>
      <c r="L65" s="168"/>
      <c r="M65" s="169"/>
      <c r="N65" s="168"/>
      <c r="O65" s="168"/>
    </row>
    <row r="66" spans="7:15" x14ac:dyDescent="0.25">
      <c r="G66" s="106"/>
      <c r="H66" s="163" t="s">
        <v>1207</v>
      </c>
      <c r="I66" s="163">
        <v>3</v>
      </c>
      <c r="J66" s="163">
        <v>17</v>
      </c>
      <c r="K66" s="168"/>
      <c r="L66" s="168"/>
      <c r="M66" s="169"/>
      <c r="N66" s="168"/>
      <c r="O66" s="168"/>
    </row>
    <row r="67" spans="7:15" x14ac:dyDescent="0.25">
      <c r="G67" s="106"/>
      <c r="H67" s="163" t="s">
        <v>1208</v>
      </c>
      <c r="I67" s="163">
        <v>3</v>
      </c>
      <c r="J67" s="163">
        <v>18</v>
      </c>
      <c r="K67" s="168"/>
      <c r="L67" s="168"/>
      <c r="M67" s="169"/>
      <c r="N67" s="168"/>
      <c r="O67" s="168"/>
    </row>
    <row r="68" spans="7:15" x14ac:dyDescent="0.25">
      <c r="G68" s="106"/>
      <c r="H68" s="163" t="s">
        <v>1209</v>
      </c>
      <c r="I68" s="163">
        <v>3</v>
      </c>
      <c r="J68" s="163">
        <v>19</v>
      </c>
      <c r="K68" s="168"/>
      <c r="L68" s="168"/>
      <c r="M68" s="169"/>
      <c r="N68" s="168"/>
      <c r="O68" s="168"/>
    </row>
    <row r="69" spans="7:15" x14ac:dyDescent="0.25">
      <c r="G69" s="106"/>
      <c r="H69" s="163" t="s">
        <v>1210</v>
      </c>
      <c r="I69" s="163">
        <v>3</v>
      </c>
      <c r="J69" s="163">
        <v>20</v>
      </c>
      <c r="K69" s="168"/>
      <c r="L69" s="168"/>
      <c r="M69" s="169"/>
      <c r="N69" s="168"/>
      <c r="O69" s="168"/>
    </row>
    <row r="70" spans="7:15" x14ac:dyDescent="0.25">
      <c r="G70" s="106"/>
      <c r="H70" s="163" t="s">
        <v>1211</v>
      </c>
      <c r="I70" s="163">
        <v>3</v>
      </c>
      <c r="J70" s="163">
        <v>21</v>
      </c>
      <c r="K70" s="168"/>
      <c r="L70" s="168"/>
      <c r="M70" s="169"/>
      <c r="N70" s="168"/>
      <c r="O70" s="168"/>
    </row>
    <row r="71" spans="7:15" x14ac:dyDescent="0.25">
      <c r="G71" s="106"/>
      <c r="H71" s="163" t="s">
        <v>1212</v>
      </c>
      <c r="I71" s="163">
        <v>3</v>
      </c>
      <c r="J71" s="163">
        <v>22</v>
      </c>
      <c r="K71" s="168"/>
      <c r="L71" s="168"/>
      <c r="M71" s="169"/>
      <c r="N71" s="168"/>
      <c r="O71" s="168"/>
    </row>
    <row r="72" spans="7:15" x14ac:dyDescent="0.25">
      <c r="G72" s="106"/>
      <c r="H72" s="163" t="s">
        <v>1213</v>
      </c>
      <c r="I72" s="163">
        <v>3</v>
      </c>
      <c r="J72" s="163">
        <v>23</v>
      </c>
      <c r="K72" s="168"/>
      <c r="L72" s="168"/>
      <c r="M72" s="169"/>
      <c r="N72" s="168"/>
      <c r="O72" s="168"/>
    </row>
    <row r="73" spans="7:15" ht="15.75" thickBot="1" x14ac:dyDescent="0.3">
      <c r="G73" s="106"/>
      <c r="H73" s="166" t="s">
        <v>1214</v>
      </c>
      <c r="I73" s="167">
        <v>3</v>
      </c>
      <c r="J73" s="165">
        <v>24</v>
      </c>
      <c r="K73" s="170"/>
      <c r="L73" s="170"/>
      <c r="M73" s="171"/>
      <c r="N73" s="170"/>
      <c r="O73" s="170"/>
    </row>
  </sheetData>
  <autoFilter ref="A1:O58" xr:uid="{5B881EE8-C9AD-4BD1-B0C5-938523D547B3}"/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237-46C3-45C8-AC64-8A53B0DF400F}">
  <sheetPr>
    <pageSetUpPr fitToPage="1"/>
  </sheetPr>
  <dimension ref="A1:L40"/>
  <sheetViews>
    <sheetView workbookViewId="0">
      <pane ySplit="1" topLeftCell="A38" activePane="bottomLeft" state="frozen"/>
      <selection pane="bottomLeft" activeCell="H40" sqref="H40"/>
    </sheetView>
  </sheetViews>
  <sheetFormatPr defaultRowHeight="15" x14ac:dyDescent="0.25"/>
  <cols>
    <col min="1" max="1" width="4.7109375" style="1" bestFit="1" customWidth="1"/>
    <col min="2" max="2" width="17" customWidth="1"/>
    <col min="3" max="3" width="17.5703125" customWidth="1"/>
    <col min="4" max="4" width="26.7109375" customWidth="1"/>
    <col min="5" max="5" width="14.42578125" bestFit="1" customWidth="1"/>
    <col min="7" max="7" width="7.7109375" bestFit="1" customWidth="1"/>
    <col min="8" max="8" width="14.85546875" style="45" bestFit="1" customWidth="1"/>
    <col min="9" max="9" width="33.140625" style="45" bestFit="1" customWidth="1"/>
    <col min="10" max="10" width="15.28515625" style="1" bestFit="1" customWidth="1"/>
    <col min="11" max="11" width="18.5703125" customWidth="1"/>
    <col min="12" max="12" width="16.42578125" customWidth="1"/>
  </cols>
  <sheetData>
    <row r="1" spans="1:12" x14ac:dyDescent="0.25">
      <c r="A1" s="40" t="s">
        <v>498</v>
      </c>
      <c r="B1" s="40" t="s">
        <v>1006</v>
      </c>
      <c r="C1" s="40" t="s">
        <v>1007</v>
      </c>
      <c r="D1" s="40" t="s">
        <v>1009</v>
      </c>
      <c r="E1" s="40" t="s">
        <v>233</v>
      </c>
      <c r="F1" s="40" t="s">
        <v>1068</v>
      </c>
      <c r="G1" s="40" t="s">
        <v>217</v>
      </c>
      <c r="H1" s="40" t="s">
        <v>5</v>
      </c>
      <c r="I1" s="40" t="s">
        <v>1009</v>
      </c>
      <c r="J1" s="40" t="s">
        <v>1300</v>
      </c>
      <c r="K1" s="40" t="s">
        <v>1579</v>
      </c>
      <c r="L1" s="40" t="s">
        <v>1625</v>
      </c>
    </row>
    <row r="2" spans="1:12" ht="17.25" customHeight="1" x14ac:dyDescent="0.25">
      <c r="A2" s="148">
        <v>1</v>
      </c>
      <c r="B2" s="177" t="s">
        <v>324</v>
      </c>
      <c r="C2" s="178">
        <v>552138655802</v>
      </c>
      <c r="D2" s="189" t="s">
        <v>1013</v>
      </c>
      <c r="E2" s="423" t="s">
        <v>1023</v>
      </c>
      <c r="F2" s="179" t="s">
        <v>1064</v>
      </c>
      <c r="G2" s="179" t="s">
        <v>1071</v>
      </c>
      <c r="H2" s="149">
        <v>192168254222</v>
      </c>
      <c r="I2" s="181" t="s">
        <v>326</v>
      </c>
      <c r="J2" s="30" t="s">
        <v>1302</v>
      </c>
      <c r="K2" s="326">
        <v>44874</v>
      </c>
      <c r="L2" s="326">
        <v>44894</v>
      </c>
    </row>
    <row r="3" spans="1:12" ht="17.25" customHeight="1" x14ac:dyDescent="0.25">
      <c r="A3" s="148"/>
      <c r="B3" s="177" t="s">
        <v>1709</v>
      </c>
      <c r="C3" s="178">
        <v>552138655860</v>
      </c>
      <c r="D3" s="424" t="s">
        <v>1718</v>
      </c>
      <c r="E3" s="423" t="s">
        <v>1023</v>
      </c>
      <c r="F3" s="179" t="s">
        <v>1087</v>
      </c>
      <c r="G3" s="179" t="s">
        <v>1301</v>
      </c>
      <c r="H3" s="149">
        <v>192168254178</v>
      </c>
      <c r="I3" s="425" t="s">
        <v>1707</v>
      </c>
      <c r="J3" s="30" t="s">
        <v>1302</v>
      </c>
      <c r="K3" s="326">
        <v>45345</v>
      </c>
      <c r="L3" s="326">
        <v>45330</v>
      </c>
    </row>
    <row r="4" spans="1:12" ht="17.25" customHeight="1" x14ac:dyDescent="0.25">
      <c r="A4" s="148">
        <v>2</v>
      </c>
      <c r="B4" s="177" t="s">
        <v>999</v>
      </c>
      <c r="C4" s="178">
        <v>552138655867</v>
      </c>
      <c r="D4" s="189" t="s">
        <v>1010</v>
      </c>
      <c r="E4" s="179" t="s">
        <v>1023</v>
      </c>
      <c r="F4" s="179" t="s">
        <v>1065</v>
      </c>
      <c r="G4" s="179" t="s">
        <v>1071</v>
      </c>
      <c r="H4" s="56" t="s">
        <v>42</v>
      </c>
      <c r="I4" s="182" t="s">
        <v>997</v>
      </c>
      <c r="J4" s="30" t="s">
        <v>1302</v>
      </c>
      <c r="K4" s="326">
        <v>45345</v>
      </c>
      <c r="L4" s="326"/>
    </row>
    <row r="5" spans="1:12" ht="17.25" customHeight="1" x14ac:dyDescent="0.25">
      <c r="A5" s="148">
        <v>3</v>
      </c>
      <c r="B5" s="177" t="s">
        <v>200</v>
      </c>
      <c r="C5" s="178">
        <v>552138655810</v>
      </c>
      <c r="D5" s="189" t="s">
        <v>1014</v>
      </c>
      <c r="E5" s="179" t="s">
        <v>1023</v>
      </c>
      <c r="F5" s="179" t="s">
        <v>1069</v>
      </c>
      <c r="G5" s="179" t="s">
        <v>1071</v>
      </c>
      <c r="H5" s="149">
        <v>192168254113</v>
      </c>
      <c r="I5" s="182" t="s">
        <v>274</v>
      </c>
      <c r="J5" s="30" t="s">
        <v>1302</v>
      </c>
      <c r="K5" s="326">
        <v>44874</v>
      </c>
      <c r="L5" s="326">
        <v>44894</v>
      </c>
    </row>
    <row r="6" spans="1:12" ht="17.25" customHeight="1" x14ac:dyDescent="0.25">
      <c r="A6" s="148">
        <v>4</v>
      </c>
      <c r="B6" s="177" t="s">
        <v>679</v>
      </c>
      <c r="C6" s="178">
        <v>552138655876</v>
      </c>
      <c r="D6" s="189" t="s">
        <v>1012</v>
      </c>
      <c r="E6" s="179" t="s">
        <v>1023</v>
      </c>
      <c r="F6" s="179" t="s">
        <v>1066</v>
      </c>
      <c r="G6" s="179" t="s">
        <v>1071</v>
      </c>
      <c r="H6" s="56" t="s">
        <v>170</v>
      </c>
      <c r="I6" s="182" t="s">
        <v>675</v>
      </c>
      <c r="J6" s="30" t="s">
        <v>1302</v>
      </c>
      <c r="K6" s="326">
        <v>45345</v>
      </c>
      <c r="L6" s="326">
        <v>44894</v>
      </c>
    </row>
    <row r="7" spans="1:12" ht="17.25" customHeight="1" x14ac:dyDescent="0.25">
      <c r="A7" s="148">
        <v>5</v>
      </c>
      <c r="B7" s="177" t="s">
        <v>96</v>
      </c>
      <c r="C7" s="178">
        <v>552138655807</v>
      </c>
      <c r="D7" s="189" t="s">
        <v>1011</v>
      </c>
      <c r="E7" s="179" t="s">
        <v>1023</v>
      </c>
      <c r="F7" s="179" t="s">
        <v>1067</v>
      </c>
      <c r="G7" s="179" t="s">
        <v>1071</v>
      </c>
      <c r="H7" s="149">
        <v>192168254180</v>
      </c>
      <c r="I7" s="182" t="s">
        <v>276</v>
      </c>
      <c r="J7" s="30" t="s">
        <v>1302</v>
      </c>
      <c r="K7" s="326">
        <v>45345</v>
      </c>
      <c r="L7" s="326">
        <v>44894</v>
      </c>
    </row>
    <row r="8" spans="1:12" ht="17.25" customHeight="1" x14ac:dyDescent="0.25">
      <c r="A8" s="148">
        <v>6</v>
      </c>
      <c r="B8" s="177" t="s">
        <v>492</v>
      </c>
      <c r="C8" s="178">
        <v>552138655831</v>
      </c>
      <c r="D8" s="189" t="s">
        <v>1015</v>
      </c>
      <c r="E8" s="179" t="s">
        <v>1023</v>
      </c>
      <c r="F8" s="179" t="s">
        <v>1070</v>
      </c>
      <c r="G8" s="179" t="s">
        <v>1071</v>
      </c>
      <c r="H8" s="149">
        <v>192168254221</v>
      </c>
      <c r="I8" s="182" t="s">
        <v>278</v>
      </c>
      <c r="J8" s="30" t="s">
        <v>1302</v>
      </c>
      <c r="K8" s="326">
        <v>45345</v>
      </c>
      <c r="L8" s="326"/>
    </row>
    <row r="9" spans="1:12" ht="17.25" customHeight="1" x14ac:dyDescent="0.25">
      <c r="A9" s="148">
        <v>7</v>
      </c>
      <c r="B9" s="177" t="s">
        <v>84</v>
      </c>
      <c r="C9" s="178">
        <v>552138655882</v>
      </c>
      <c r="D9" s="189" t="s">
        <v>1018</v>
      </c>
      <c r="E9" s="179" t="s">
        <v>1023</v>
      </c>
      <c r="F9" s="179" t="s">
        <v>1252</v>
      </c>
      <c r="G9" s="179" t="s">
        <v>1071</v>
      </c>
      <c r="H9" s="56" t="s">
        <v>727</v>
      </c>
      <c r="I9" s="182" t="s">
        <v>307</v>
      </c>
      <c r="J9" s="30" t="s">
        <v>1302</v>
      </c>
      <c r="K9" s="326">
        <v>45345</v>
      </c>
      <c r="L9" s="326"/>
    </row>
    <row r="10" spans="1:12" ht="17.25" customHeight="1" x14ac:dyDescent="0.25">
      <c r="A10" s="148">
        <v>8</v>
      </c>
      <c r="B10" s="177" t="s">
        <v>239</v>
      </c>
      <c r="C10" s="178">
        <v>552138655805</v>
      </c>
      <c r="D10" s="189" t="s">
        <v>1016</v>
      </c>
      <c r="E10" s="179" t="s">
        <v>1023</v>
      </c>
      <c r="F10" s="179" t="s">
        <v>1253</v>
      </c>
      <c r="G10" s="179" t="s">
        <v>1071</v>
      </c>
      <c r="H10" s="149">
        <v>192168254147</v>
      </c>
      <c r="I10" s="182" t="s">
        <v>330</v>
      </c>
      <c r="J10" s="30" t="s">
        <v>1302</v>
      </c>
      <c r="K10" s="326">
        <v>44874</v>
      </c>
      <c r="L10" s="326">
        <v>44894</v>
      </c>
    </row>
    <row r="11" spans="1:12" ht="17.25" customHeight="1" x14ac:dyDescent="0.25">
      <c r="A11" s="148">
        <v>9</v>
      </c>
      <c r="B11" s="177" t="s">
        <v>134</v>
      </c>
      <c r="C11" s="178">
        <v>552138655812</v>
      </c>
      <c r="D11" s="189" t="s">
        <v>1020</v>
      </c>
      <c r="E11" s="179" t="s">
        <v>1023</v>
      </c>
      <c r="F11" s="179" t="s">
        <v>1254</v>
      </c>
      <c r="G11" s="179" t="s">
        <v>1071</v>
      </c>
      <c r="H11" s="56" t="s">
        <v>729</v>
      </c>
      <c r="I11" s="182" t="s">
        <v>288</v>
      </c>
      <c r="J11" s="30" t="s">
        <v>1302</v>
      </c>
      <c r="K11" s="326">
        <v>45345</v>
      </c>
      <c r="L11" s="326">
        <v>44894</v>
      </c>
    </row>
    <row r="12" spans="1:12" ht="17.25" customHeight="1" x14ac:dyDescent="0.25">
      <c r="A12" s="148">
        <v>10</v>
      </c>
      <c r="B12" s="177" t="s">
        <v>963</v>
      </c>
      <c r="C12" s="178">
        <v>552138655847</v>
      </c>
      <c r="D12" s="189" t="s">
        <v>1017</v>
      </c>
      <c r="E12" s="179" t="s">
        <v>1023</v>
      </c>
      <c r="F12" s="179" t="s">
        <v>1255</v>
      </c>
      <c r="G12" s="179" t="s">
        <v>1071</v>
      </c>
      <c r="H12" s="149">
        <v>192168254128</v>
      </c>
      <c r="I12" s="182" t="s">
        <v>443</v>
      </c>
      <c r="J12" s="30" t="s">
        <v>1302</v>
      </c>
      <c r="K12" s="326"/>
      <c r="L12" s="326">
        <v>44894</v>
      </c>
    </row>
    <row r="13" spans="1:12" ht="17.25" customHeight="1" x14ac:dyDescent="0.25">
      <c r="A13" s="148">
        <v>11</v>
      </c>
      <c r="B13" s="177" t="s">
        <v>137</v>
      </c>
      <c r="C13" s="178">
        <v>552138655814</v>
      </c>
      <c r="D13" s="189" t="s">
        <v>1019</v>
      </c>
      <c r="E13" s="179" t="s">
        <v>1023</v>
      </c>
      <c r="F13" s="179" t="s">
        <v>1256</v>
      </c>
      <c r="G13" s="179" t="s">
        <v>1071</v>
      </c>
      <c r="H13" s="149">
        <v>192168254162</v>
      </c>
      <c r="I13" s="182" t="s">
        <v>320</v>
      </c>
      <c r="J13" s="30" t="s">
        <v>1302</v>
      </c>
      <c r="K13" s="326">
        <v>45345</v>
      </c>
      <c r="L13" s="326"/>
    </row>
    <row r="14" spans="1:12" ht="17.25" customHeight="1" x14ac:dyDescent="0.25">
      <c r="A14" s="148">
        <v>12</v>
      </c>
      <c r="B14" s="177" t="s">
        <v>61</v>
      </c>
      <c r="C14" s="178">
        <v>552138655822</v>
      </c>
      <c r="D14" s="189" t="s">
        <v>1021</v>
      </c>
      <c r="E14" s="179" t="s">
        <v>1023</v>
      </c>
      <c r="F14" s="179" t="s">
        <v>1257</v>
      </c>
      <c r="G14" s="179" t="s">
        <v>1071</v>
      </c>
      <c r="H14" s="149">
        <v>192168254229</v>
      </c>
      <c r="I14" s="182" t="s">
        <v>331</v>
      </c>
      <c r="J14" s="30" t="s">
        <v>1302</v>
      </c>
      <c r="K14" s="326">
        <v>45345</v>
      </c>
      <c r="L14" s="326">
        <v>44894</v>
      </c>
    </row>
    <row r="15" spans="1:12" ht="17.25" customHeight="1" x14ac:dyDescent="0.25">
      <c r="A15" s="148">
        <v>13</v>
      </c>
      <c r="B15" s="177" t="s">
        <v>244</v>
      </c>
      <c r="C15" s="178">
        <v>552138655825</v>
      </c>
      <c r="D15" s="189" t="s">
        <v>1022</v>
      </c>
      <c r="E15" s="179" t="s">
        <v>1023</v>
      </c>
      <c r="F15" s="179" t="s">
        <v>1258</v>
      </c>
      <c r="G15" s="179" t="s">
        <v>1071</v>
      </c>
      <c r="H15" s="149">
        <v>192168254189</v>
      </c>
      <c r="I15" s="182" t="s">
        <v>316</v>
      </c>
      <c r="J15" s="30" t="s">
        <v>1302</v>
      </c>
      <c r="K15" s="326"/>
      <c r="L15" s="326">
        <v>44894</v>
      </c>
    </row>
    <row r="16" spans="1:12" ht="17.25" customHeight="1" x14ac:dyDescent="0.25">
      <c r="A16" s="148">
        <v>14</v>
      </c>
      <c r="B16" s="43" t="s">
        <v>1271</v>
      </c>
      <c r="C16" s="180">
        <v>552138655818</v>
      </c>
      <c r="D16" s="189" t="s">
        <v>1273</v>
      </c>
      <c r="E16" s="30" t="s">
        <v>1023</v>
      </c>
      <c r="F16" s="30" t="s">
        <v>1276</v>
      </c>
      <c r="G16" s="30" t="s">
        <v>1071</v>
      </c>
      <c r="H16" s="56" t="s">
        <v>728</v>
      </c>
      <c r="I16" s="188" t="s">
        <v>341</v>
      </c>
      <c r="J16" s="30" t="s">
        <v>1302</v>
      </c>
      <c r="K16" s="326"/>
      <c r="L16" s="326">
        <v>44894</v>
      </c>
    </row>
    <row r="17" spans="1:12" ht="17.25" customHeight="1" x14ac:dyDescent="0.25">
      <c r="A17" s="148">
        <v>15</v>
      </c>
      <c r="B17" s="43" t="s">
        <v>510</v>
      </c>
      <c r="C17" s="180">
        <v>552138655869</v>
      </c>
      <c r="D17" s="190" t="s">
        <v>1274</v>
      </c>
      <c r="E17" s="30" t="s">
        <v>1023</v>
      </c>
      <c r="F17" s="30" t="s">
        <v>1277</v>
      </c>
      <c r="G17" s="30" t="s">
        <v>1071</v>
      </c>
      <c r="H17" s="149">
        <v>192168254114</v>
      </c>
      <c r="I17" s="182" t="s">
        <v>280</v>
      </c>
      <c r="J17" s="30" t="s">
        <v>1302</v>
      </c>
      <c r="K17" s="326"/>
      <c r="L17" s="326"/>
    </row>
    <row r="18" spans="1:12" ht="17.25" customHeight="1" x14ac:dyDescent="0.25">
      <c r="A18" s="148">
        <v>16</v>
      </c>
      <c r="B18" s="43" t="s">
        <v>345</v>
      </c>
      <c r="C18" s="180">
        <v>552138655820</v>
      </c>
      <c r="D18" s="424" t="s">
        <v>1275</v>
      </c>
      <c r="E18" s="191" t="s">
        <v>1023</v>
      </c>
      <c r="F18" s="191" t="s">
        <v>1278</v>
      </c>
      <c r="G18" s="191" t="s">
        <v>1071</v>
      </c>
      <c r="H18" s="192">
        <v>192168254190</v>
      </c>
      <c r="I18" s="188" t="s">
        <v>357</v>
      </c>
      <c r="J18" s="30" t="s">
        <v>1302</v>
      </c>
      <c r="K18" s="326">
        <v>45348</v>
      </c>
      <c r="L18" s="326">
        <v>44894</v>
      </c>
    </row>
    <row r="19" spans="1:12" ht="17.25" customHeight="1" x14ac:dyDescent="0.25">
      <c r="A19" s="148">
        <v>17</v>
      </c>
      <c r="B19" s="43" t="s">
        <v>127</v>
      </c>
      <c r="C19" s="180">
        <v>552138655800</v>
      </c>
      <c r="D19" s="189" t="s">
        <v>1272</v>
      </c>
      <c r="E19" s="30" t="s">
        <v>353</v>
      </c>
      <c r="F19" s="30" t="s">
        <v>1279</v>
      </c>
      <c r="G19" s="30" t="s">
        <v>1071</v>
      </c>
      <c r="H19" s="149">
        <v>192168254146</v>
      </c>
      <c r="I19" s="194" t="s">
        <v>292</v>
      </c>
      <c r="J19" s="30" t="s">
        <v>1302</v>
      </c>
      <c r="K19" s="326">
        <v>45345</v>
      </c>
      <c r="L19" s="326">
        <v>44894</v>
      </c>
    </row>
    <row r="20" spans="1:12" ht="17.25" customHeight="1" x14ac:dyDescent="0.25">
      <c r="A20" s="148">
        <v>18</v>
      </c>
      <c r="B20" s="43" t="s">
        <v>202</v>
      </c>
      <c r="C20" s="193">
        <v>552138655892</v>
      </c>
      <c r="D20" s="189" t="s">
        <v>1283</v>
      </c>
      <c r="E20" s="30" t="s">
        <v>1023</v>
      </c>
      <c r="F20" s="30" t="s">
        <v>1280</v>
      </c>
      <c r="G20" s="30" t="s">
        <v>1071</v>
      </c>
      <c r="H20" s="149">
        <v>192168254178</v>
      </c>
      <c r="I20" s="188" t="s">
        <v>305</v>
      </c>
      <c r="J20" s="30" t="s">
        <v>1301</v>
      </c>
      <c r="K20" s="326"/>
      <c r="L20" s="326"/>
    </row>
    <row r="21" spans="1:12" ht="17.25" customHeight="1" x14ac:dyDescent="0.25">
      <c r="A21" s="148">
        <v>19</v>
      </c>
      <c r="B21" s="43" t="s">
        <v>203</v>
      </c>
      <c r="C21" s="193">
        <v>552138655849</v>
      </c>
      <c r="D21" s="189" t="s">
        <v>1284</v>
      </c>
      <c r="E21" s="191" t="s">
        <v>1023</v>
      </c>
      <c r="F21" s="191" t="s">
        <v>1281</v>
      </c>
      <c r="G21" s="191" t="s">
        <v>1071</v>
      </c>
      <c r="H21" s="192">
        <v>192168254179</v>
      </c>
      <c r="I21" s="188" t="s">
        <v>329</v>
      </c>
      <c r="J21" s="191" t="s">
        <v>1301</v>
      </c>
      <c r="K21" s="326">
        <v>45345</v>
      </c>
      <c r="L21" s="326">
        <v>44894</v>
      </c>
    </row>
    <row r="22" spans="1:12" ht="17.25" customHeight="1" x14ac:dyDescent="0.25">
      <c r="A22" s="148">
        <v>20</v>
      </c>
      <c r="B22" s="42" t="s">
        <v>155</v>
      </c>
      <c r="C22" s="180">
        <v>552138655891</v>
      </c>
      <c r="D22" s="194" t="s">
        <v>1294</v>
      </c>
      <c r="E22" s="41" t="s">
        <v>1023</v>
      </c>
      <c r="F22" s="41" t="s">
        <v>1282</v>
      </c>
      <c r="G22" s="41" t="s">
        <v>1071</v>
      </c>
      <c r="H22" s="195">
        <v>192168254122</v>
      </c>
      <c r="I22" s="196" t="s">
        <v>503</v>
      </c>
      <c r="J22" s="191" t="s">
        <v>1301</v>
      </c>
      <c r="K22" s="326"/>
      <c r="L22" s="326"/>
    </row>
    <row r="23" spans="1:12" ht="17.25" customHeight="1" x14ac:dyDescent="0.25">
      <c r="A23" s="148">
        <v>21</v>
      </c>
      <c r="B23" s="42" t="s">
        <v>171</v>
      </c>
      <c r="C23" s="180">
        <v>552138655880</v>
      </c>
      <c r="D23" s="424" t="s">
        <v>1298</v>
      </c>
      <c r="E23" s="41" t="s">
        <v>1023</v>
      </c>
      <c r="F23" s="41" t="s">
        <v>1299</v>
      </c>
      <c r="G23" s="41" t="s">
        <v>1301</v>
      </c>
      <c r="H23" s="195">
        <v>192168254175</v>
      </c>
      <c r="I23" s="196" t="s">
        <v>284</v>
      </c>
      <c r="J23" s="191" t="s">
        <v>1301</v>
      </c>
      <c r="K23" s="326"/>
      <c r="L23" s="326">
        <v>44894</v>
      </c>
    </row>
    <row r="24" spans="1:12" ht="17.25" customHeight="1" x14ac:dyDescent="0.25">
      <c r="A24" s="148">
        <v>22</v>
      </c>
      <c r="B24" s="42" t="s">
        <v>1696</v>
      </c>
      <c r="C24" s="180">
        <v>552138655887</v>
      </c>
      <c r="D24" s="189" t="s">
        <v>1534</v>
      </c>
      <c r="E24" s="407" t="s">
        <v>1023</v>
      </c>
      <c r="F24" s="41" t="s">
        <v>1533</v>
      </c>
      <c r="G24" s="41" t="s">
        <v>1301</v>
      </c>
      <c r="H24" s="195" t="s">
        <v>40</v>
      </c>
      <c r="I24" s="427" t="s">
        <v>1692</v>
      </c>
      <c r="J24" s="191" t="s">
        <v>1301</v>
      </c>
      <c r="K24" s="327">
        <v>45345</v>
      </c>
      <c r="L24" s="326"/>
    </row>
    <row r="25" spans="1:12" ht="17.25" customHeight="1" x14ac:dyDescent="0.25">
      <c r="A25" s="148"/>
      <c r="B25" s="402" t="s">
        <v>1673</v>
      </c>
      <c r="C25" s="403">
        <v>552138655843</v>
      </c>
      <c r="D25" s="406" t="s">
        <v>1675</v>
      </c>
      <c r="E25" s="408" t="s">
        <v>1023</v>
      </c>
      <c r="F25" s="41" t="s">
        <v>1674</v>
      </c>
      <c r="G25" s="25" t="s">
        <v>1301</v>
      </c>
      <c r="H25" s="404">
        <v>192168254130</v>
      </c>
      <c r="I25" s="409" t="s">
        <v>1628</v>
      </c>
      <c r="J25" s="405" t="s">
        <v>1301</v>
      </c>
      <c r="K25" s="327"/>
      <c r="L25" s="326"/>
    </row>
    <row r="26" spans="1:12" ht="17.25" customHeight="1" x14ac:dyDescent="0.25">
      <c r="A26" s="148"/>
      <c r="B26" s="402" t="s">
        <v>1673</v>
      </c>
      <c r="C26" s="403">
        <v>552138655843</v>
      </c>
      <c r="D26" s="406" t="s">
        <v>1680</v>
      </c>
      <c r="E26" s="408" t="s">
        <v>1023</v>
      </c>
      <c r="F26" s="41" t="s">
        <v>1679</v>
      </c>
      <c r="G26" s="25" t="s">
        <v>1301</v>
      </c>
      <c r="H26" s="404">
        <v>192168254130</v>
      </c>
      <c r="I26" s="409" t="s">
        <v>363</v>
      </c>
      <c r="J26" s="405" t="s">
        <v>1301</v>
      </c>
      <c r="K26" s="327"/>
      <c r="L26" s="326"/>
    </row>
    <row r="27" spans="1:12" ht="17.25" customHeight="1" x14ac:dyDescent="0.25">
      <c r="A27" s="148"/>
      <c r="B27" s="402" t="s">
        <v>132</v>
      </c>
      <c r="C27" s="403">
        <v>552138655829</v>
      </c>
      <c r="D27" s="406" t="s">
        <v>1700</v>
      </c>
      <c r="E27" s="408" t="s">
        <v>1023</v>
      </c>
      <c r="F27" s="41" t="s">
        <v>1701</v>
      </c>
      <c r="G27" s="25" t="s">
        <v>1301</v>
      </c>
      <c r="H27" s="404">
        <v>192168254148</v>
      </c>
      <c r="I27" s="409" t="s">
        <v>282</v>
      </c>
      <c r="J27" s="405" t="s">
        <v>1301</v>
      </c>
      <c r="K27" s="327"/>
      <c r="L27" s="326"/>
    </row>
    <row r="28" spans="1:12" x14ac:dyDescent="0.25">
      <c r="B28" t="s">
        <v>1715</v>
      </c>
      <c r="C28" s="429">
        <v>552138655851</v>
      </c>
      <c r="D28" t="s">
        <v>1013</v>
      </c>
      <c r="E28" t="s">
        <v>1023</v>
      </c>
      <c r="F28" t="s">
        <v>1064</v>
      </c>
      <c r="G28" t="s">
        <v>1071</v>
      </c>
      <c r="H28" s="426">
        <v>192168254156</v>
      </c>
      <c r="I28" s="45" t="s">
        <v>1713</v>
      </c>
      <c r="J28" s="1" t="s">
        <v>1302</v>
      </c>
      <c r="K28" s="326">
        <v>45345</v>
      </c>
    </row>
    <row r="29" spans="1:12" x14ac:dyDescent="0.25">
      <c r="B29" s="35" t="s">
        <v>1246</v>
      </c>
      <c r="C29" t="s">
        <v>1243</v>
      </c>
    </row>
    <row r="30" spans="1:12" x14ac:dyDescent="0.25">
      <c r="B30" s="35" t="s">
        <v>1239</v>
      </c>
      <c r="C30" t="s">
        <v>1269</v>
      </c>
    </row>
    <row r="31" spans="1:12" x14ac:dyDescent="0.25">
      <c r="B31" s="35" t="s">
        <v>1240</v>
      </c>
      <c r="C31" t="s">
        <v>1236</v>
      </c>
    </row>
    <row r="32" spans="1:12" x14ac:dyDescent="0.25">
      <c r="B32" s="35" t="s">
        <v>1241</v>
      </c>
      <c r="C32" t="s">
        <v>1237</v>
      </c>
    </row>
    <row r="33" spans="2:11" ht="120" x14ac:dyDescent="0.25">
      <c r="B33" s="175" t="s">
        <v>1242</v>
      </c>
      <c r="C33" s="176" t="s">
        <v>1247</v>
      </c>
    </row>
    <row r="34" spans="2:11" x14ac:dyDescent="0.25">
      <c r="B34" s="35" t="s">
        <v>1238</v>
      </c>
      <c r="C34" t="s">
        <v>1270</v>
      </c>
    </row>
    <row r="35" spans="2:11" x14ac:dyDescent="0.25">
      <c r="B35" s="35" t="s">
        <v>1248</v>
      </c>
      <c r="C35" t="s">
        <v>1249</v>
      </c>
    </row>
    <row r="36" spans="2:11" x14ac:dyDescent="0.25">
      <c r="B36" t="s">
        <v>1244</v>
      </c>
    </row>
    <row r="37" spans="2:11" x14ac:dyDescent="0.25">
      <c r="B37" t="s">
        <v>1245</v>
      </c>
    </row>
    <row r="38" spans="2:11" x14ac:dyDescent="0.25">
      <c r="B38" t="s">
        <v>1724</v>
      </c>
      <c r="C38">
        <v>552138655833</v>
      </c>
      <c r="D38" t="s">
        <v>1013</v>
      </c>
      <c r="E38" s="328" t="s">
        <v>1023</v>
      </c>
      <c r="F38" t="s">
        <v>1064</v>
      </c>
      <c r="G38" t="s">
        <v>1071</v>
      </c>
      <c r="H38" s="426">
        <v>192168254177</v>
      </c>
      <c r="I38" s="428" t="s">
        <v>318</v>
      </c>
      <c r="J38" s="1" t="s">
        <v>1302</v>
      </c>
      <c r="K38" s="326">
        <v>45348</v>
      </c>
    </row>
    <row r="39" spans="2:11" x14ac:dyDescent="0.25">
      <c r="C39" t="s">
        <v>1295</v>
      </c>
    </row>
    <row r="40" spans="2:11" x14ac:dyDescent="0.25">
      <c r="B40" t="s">
        <v>1695</v>
      </c>
      <c r="C40" s="429">
        <v>552138655811</v>
      </c>
      <c r="D40" t="s">
        <v>1275</v>
      </c>
      <c r="E40" s="328" t="s">
        <v>1023</v>
      </c>
      <c r="F40" t="s">
        <v>1278</v>
      </c>
      <c r="G40" t="s">
        <v>1301</v>
      </c>
      <c r="H40" s="426">
        <v>192168254181</v>
      </c>
      <c r="I40" s="428" t="s">
        <v>1697</v>
      </c>
      <c r="J40" s="1" t="s">
        <v>1302</v>
      </c>
      <c r="K40" s="326">
        <v>45377</v>
      </c>
    </row>
  </sheetData>
  <phoneticPr fontId="5" type="noConversion"/>
  <hyperlinks>
    <hyperlink ref="C15" r:id="rId1" display="https://api.whatsapp.com/send?phone=552138655825" xr:uid="{8E3206FC-46D6-42C7-AF49-C8AEED480CAA}"/>
    <hyperlink ref="C4" r:id="rId2" display="https://api.whatsapp.com/send?phone=552138655867" xr:uid="{0EFBEEBD-43DF-42FC-BC92-8522A06F4613}"/>
    <hyperlink ref="C7" r:id="rId3" display="https://api.whatsapp.com/send?phone=552138655807" xr:uid="{C1A0DAC1-022C-4664-8B22-55E293B45872}"/>
    <hyperlink ref="C6" r:id="rId4" display="https://api.whatsapp.com/send?phone=552138655876" xr:uid="{56E4A0C6-9A5B-47E5-92B8-4F088494001E}"/>
    <hyperlink ref="C2" r:id="rId5" display="https://api.whatsapp.com/send?phone=552138655802" xr:uid="{04707461-8361-4283-A103-696C465A42C0}"/>
    <hyperlink ref="C5" r:id="rId6" display="https://api.whatsapp.com/send?phone=552138655810" xr:uid="{093E646F-0861-49C6-971D-87181ECB969C}"/>
    <hyperlink ref="C8" r:id="rId7" display="https://api.whatsapp.com/send?phone=552138655831" xr:uid="{2E63A255-4B2F-4B3E-A05C-5F80330364E5}"/>
    <hyperlink ref="C10" r:id="rId8" display="https://api.whatsapp.com/send?phone=552138655805" xr:uid="{3A71B4B8-B288-44E6-BF16-14CF8C8EE3E5}"/>
    <hyperlink ref="C12" r:id="rId9" display="https://api.whatsapp.com/send?phone=552138655847" xr:uid="{A2D4C7ED-4C18-4E2E-BDD6-0356BCB64EF9}"/>
    <hyperlink ref="C9" r:id="rId10" display="https://api.whatsapp.com/send?phone=552138655882" xr:uid="{A9102A49-DA01-472B-A8C3-16F1DF1A7DEE}"/>
    <hyperlink ref="C13" r:id="rId11" display="https://api.whatsapp.com/send?phone=552138655814" xr:uid="{00EE5097-6464-40A1-B117-30DC00D3BED0}"/>
    <hyperlink ref="C11" r:id="rId12" display="https://api.whatsapp.com/send?phone=552138655812" xr:uid="{998EE670-7471-48C5-A12F-EFF169865F1A}"/>
    <hyperlink ref="C14" r:id="rId13" display="https://api.whatsapp.com/send?phone=552138655822" xr:uid="{4E667E8B-A1B1-4969-92AE-2476FEFE4486}"/>
    <hyperlink ref="D16" r:id="rId14" xr:uid="{F57098FC-E6DA-4D1E-8E95-D9FDB878FF8E}"/>
    <hyperlink ref="I2" r:id="rId15" xr:uid="{62EBE4E4-1B66-4402-B234-971747C0D9A1}"/>
    <hyperlink ref="I4" r:id="rId16" xr:uid="{258B964D-FA34-43FF-A319-2408DF3C6D8E}"/>
    <hyperlink ref="I5" r:id="rId17" xr:uid="{8F744066-F81D-4922-9599-4511EDD1CAC9}"/>
    <hyperlink ref="I6" r:id="rId18" xr:uid="{5DBC6803-8E45-4259-835D-9AA83B5B6BC1}"/>
    <hyperlink ref="I7" r:id="rId19" xr:uid="{8F3042F3-58E6-4B2E-9E1A-7B9A1AAC779F}"/>
    <hyperlink ref="I8" r:id="rId20" xr:uid="{3D6D33E2-22C5-427D-8346-A49BD8B0B01E}"/>
    <hyperlink ref="I9" r:id="rId21" xr:uid="{05146E24-4182-42D0-9765-A97C46DC7BF6}"/>
    <hyperlink ref="I10" r:id="rId22" xr:uid="{146383C2-F991-4534-B74A-BC6AB3C24A0C}"/>
    <hyperlink ref="I11" r:id="rId23" xr:uid="{60DB485D-61B3-43DC-B78E-52F1ED55A233}"/>
    <hyperlink ref="I12" r:id="rId24" xr:uid="{39CB44BF-6CCF-4F69-92F6-FE62595A2E06}"/>
    <hyperlink ref="I13" r:id="rId25" xr:uid="{859A5889-FBAE-4E11-ADC9-B3D789975D93}"/>
    <hyperlink ref="I14" r:id="rId26" xr:uid="{B01FCF8B-BC60-4AE7-9E08-F5832AB96088}"/>
    <hyperlink ref="I15" r:id="rId27" xr:uid="{FE533BD5-4F0D-4355-8C8F-12FD377BC4AF}"/>
    <hyperlink ref="I18" r:id="rId28" xr:uid="{CE75102A-5C99-4CF9-BDE1-97AA5DF2071A}"/>
    <hyperlink ref="I17" r:id="rId29" xr:uid="{40A4FCA0-9A5F-4EE0-A142-5C68ADA63689}"/>
    <hyperlink ref="I16" r:id="rId30" xr:uid="{20D4242D-ABF8-4104-8A23-76834899C07C}"/>
    <hyperlink ref="D2" r:id="rId31" xr:uid="{639D17C3-5BCD-4438-8F8C-1E1A4A4603D2}"/>
    <hyperlink ref="D4" r:id="rId32" xr:uid="{44D7ED4E-654F-4105-8AEE-066CA55BC48F}"/>
    <hyperlink ref="D5" r:id="rId33" xr:uid="{DF67C94B-5C44-4016-B7C4-45BCFE8165ED}"/>
    <hyperlink ref="D6" r:id="rId34" xr:uid="{68193305-DB27-4F54-B9ED-7CDB3A8528E3}"/>
    <hyperlink ref="D7" r:id="rId35" xr:uid="{2E55C69C-DF5C-45A7-85C0-831200871586}"/>
    <hyperlink ref="D8" r:id="rId36" xr:uid="{F11FF22D-C7E3-490C-B564-46D58B3A8E50}"/>
    <hyperlink ref="D9" r:id="rId37" xr:uid="{6A772865-EFD0-47A0-A99B-BC49BA91E2EF}"/>
    <hyperlink ref="D10" r:id="rId38" xr:uid="{C55B9F3F-DD5B-4441-A71A-F9A2D2D248B5}"/>
    <hyperlink ref="D11" r:id="rId39" xr:uid="{CCA22788-72FC-48F9-B0E6-1CCB6868A518}"/>
    <hyperlink ref="D12" r:id="rId40" xr:uid="{ECF10962-4D72-486F-81E1-EA052EB27EEC}"/>
    <hyperlink ref="D13" r:id="rId41" xr:uid="{E02026C2-4760-41FD-BDF1-13BB677400CB}"/>
    <hyperlink ref="D14" r:id="rId42" xr:uid="{06E9C5D2-EF08-45B6-95F3-5209F0F15157}"/>
    <hyperlink ref="D15" r:id="rId43" xr:uid="{543AD4FA-1ABE-4EB3-AA61-DF91C45A2A89}"/>
    <hyperlink ref="D17" r:id="rId44" xr:uid="{848AEEE4-C486-4B40-A81E-7585B3C0830B}"/>
    <hyperlink ref="D18" r:id="rId45" xr:uid="{636DE127-FF37-4CE5-BD77-276EF8526264}"/>
    <hyperlink ref="D19" r:id="rId46" xr:uid="{142948B8-DCD2-4EB6-932B-87C1D7632936}"/>
    <hyperlink ref="D20" r:id="rId47" xr:uid="{62F66854-0A0A-48B4-AD6A-CE54E559F975}"/>
    <hyperlink ref="D21" r:id="rId48" xr:uid="{2B603A98-D978-4958-85FE-0C4B002CF796}"/>
    <hyperlink ref="D22" r:id="rId49" xr:uid="{C85F2CC8-FD05-4AAD-8F1C-B9B65391FC2D}"/>
    <hyperlink ref="I20" r:id="rId50" xr:uid="{97DADEA3-57D7-4962-B716-3008C6B5FF8E}"/>
    <hyperlink ref="I21" r:id="rId51" xr:uid="{A2AB7BCF-00BB-4943-819E-05EE140D1684}"/>
    <hyperlink ref="I19" r:id="rId52" xr:uid="{47343377-D528-4ADF-B956-9BCD67FD5D31}"/>
    <hyperlink ref="I22" r:id="rId53" xr:uid="{9AA33A1A-DF51-41C9-9097-1ACDEFA1E020}"/>
    <hyperlink ref="D23" r:id="rId54" xr:uid="{A1C84CCF-22EC-4F32-81F8-B9DDBC8EB6D5}"/>
    <hyperlink ref="I23" r:id="rId55" xr:uid="{ABA115F3-A8A0-4837-96C9-312986DDE253}"/>
    <hyperlink ref="D24" r:id="rId56" xr:uid="{A013FB85-D5F0-4B3F-ADE0-75A65B596C10}"/>
    <hyperlink ref="D25" r:id="rId57" xr:uid="{6CC9370D-A7EA-4D20-9A84-7B48208F189F}"/>
    <hyperlink ref="E24" r:id="rId58" xr:uid="{165611CA-DC8A-4D7D-A951-519921ED1767}"/>
    <hyperlink ref="I25" r:id="rId59" xr:uid="{3897FCFE-059C-4DBF-BC9C-992D4FD8A61D}"/>
    <hyperlink ref="E25" r:id="rId60" xr:uid="{7A5B4829-9EDA-4301-9642-8C20818E10AE}"/>
    <hyperlink ref="D26" r:id="rId61" xr:uid="{8447D865-A698-4542-8C4A-C157D60C62CA}"/>
    <hyperlink ref="I26" r:id="rId62" xr:uid="{08649D79-0CAA-4BF4-9229-853E91A547D3}"/>
    <hyperlink ref="E26" r:id="rId63" xr:uid="{EC7A4B99-B1BB-4E31-81F4-6239908608F8}"/>
    <hyperlink ref="D27" r:id="rId64" xr:uid="{B6E28B06-0E24-4F73-B906-3B3488075F8D}"/>
    <hyperlink ref="I27" r:id="rId65" xr:uid="{654161A4-CA99-42A6-B499-F1CAEBD58835}"/>
    <hyperlink ref="E27" r:id="rId66" xr:uid="{4A9E71F3-F04C-4864-A347-D39D586BCB1A}"/>
    <hyperlink ref="E2" r:id="rId67" xr:uid="{17778ECE-6964-42EF-A4DB-56B474836A10}"/>
    <hyperlink ref="D3" r:id="rId68" xr:uid="{DC3AA416-0118-4D64-8E91-F4D2F2290D29}"/>
    <hyperlink ref="E3" r:id="rId69" xr:uid="{DB619F5C-83E5-4E25-857E-183D35E826B6}"/>
    <hyperlink ref="I3" r:id="rId70" xr:uid="{106DB195-6916-4411-948F-EE4E5FF7D2DD}"/>
    <hyperlink ref="I24" r:id="rId71" xr:uid="{652F4051-FC7E-445D-8C1A-41D5D167A36E}"/>
    <hyperlink ref="I38" r:id="rId72" xr:uid="{DB5A65C8-ED15-4E79-837F-1DE7981539CB}"/>
    <hyperlink ref="E38" r:id="rId73" xr:uid="{9E6DE646-099D-4873-8F4D-2582FFCD4C5C}"/>
    <hyperlink ref="E40" r:id="rId74" xr:uid="{D064A69B-9FCF-4CCC-B3FE-C64492AB53AB}"/>
    <hyperlink ref="I40" r:id="rId75" xr:uid="{CCEC7B30-73EF-49B3-98D5-E7CBD635DD20}"/>
  </hyperlinks>
  <pageMargins left="0.511811024" right="0.511811024" top="0.78740157499999996" bottom="0.78740157499999996" header="0.31496062000000002" footer="0.31496062000000002"/>
  <pageSetup paperSize="9" scale="77" orientation="portrait" horizontalDpi="4294967293" verticalDpi="0" r:id="rId7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E953-E7E0-48C5-AE95-26E0C8D136E9}">
  <dimension ref="A1:J23"/>
  <sheetViews>
    <sheetView workbookViewId="0">
      <selection activeCell="I4" sqref="I4"/>
    </sheetView>
  </sheetViews>
  <sheetFormatPr defaultRowHeight="15" x14ac:dyDescent="0.25"/>
  <cols>
    <col min="1" max="1" width="5.140625" bestFit="1" customWidth="1"/>
    <col min="2" max="2" width="9.7109375" bestFit="1" customWidth="1"/>
    <col min="3" max="3" width="14.85546875" customWidth="1"/>
    <col min="4" max="4" width="27.7109375" customWidth="1"/>
    <col min="5" max="5" width="14" bestFit="1" customWidth="1"/>
    <col min="6" max="6" width="13.85546875" bestFit="1" customWidth="1"/>
    <col min="7" max="7" width="14" bestFit="1" customWidth="1"/>
    <col min="8" max="8" width="15" style="1" bestFit="1" customWidth="1"/>
    <col min="9" max="9" width="13.7109375" style="1" bestFit="1" customWidth="1"/>
  </cols>
  <sheetData>
    <row r="1" spans="1:10" x14ac:dyDescent="0.25">
      <c r="A1" s="155" t="s">
        <v>1050</v>
      </c>
      <c r="B1" s="151" t="s">
        <v>1038</v>
      </c>
      <c r="C1" s="151" t="s">
        <v>1034</v>
      </c>
      <c r="D1" s="151" t="s">
        <v>1035</v>
      </c>
      <c r="E1" s="151" t="s">
        <v>1036</v>
      </c>
      <c r="F1" s="151" t="s">
        <v>4</v>
      </c>
      <c r="G1" s="151" t="s">
        <v>1040</v>
      </c>
      <c r="H1" s="151" t="s">
        <v>1037</v>
      </c>
      <c r="I1" s="151" t="s">
        <v>1049</v>
      </c>
    </row>
    <row r="2" spans="1:10" x14ac:dyDescent="0.25">
      <c r="A2" s="1">
        <v>1</v>
      </c>
      <c r="B2" s="1" t="s">
        <v>944</v>
      </c>
      <c r="C2" s="25">
        <v>21994828304</v>
      </c>
      <c r="D2" t="s">
        <v>1042</v>
      </c>
      <c r="E2" s="25" t="s">
        <v>791</v>
      </c>
      <c r="F2" s="25" t="s">
        <v>791</v>
      </c>
      <c r="G2" s="25" t="s">
        <v>1043</v>
      </c>
      <c r="H2" s="150"/>
      <c r="I2" s="25" t="s">
        <v>132</v>
      </c>
    </row>
    <row r="3" spans="1:10" x14ac:dyDescent="0.25">
      <c r="A3" s="1">
        <v>2</v>
      </c>
      <c r="B3" s="1" t="s">
        <v>944</v>
      </c>
      <c r="C3" s="25">
        <v>21993358443</v>
      </c>
      <c r="D3" t="s">
        <v>1042</v>
      </c>
      <c r="E3" s="25" t="s">
        <v>1044</v>
      </c>
      <c r="F3" s="1" t="s">
        <v>18</v>
      </c>
      <c r="G3" s="25" t="s">
        <v>1043</v>
      </c>
      <c r="H3" s="150"/>
      <c r="I3" s="25" t="s">
        <v>127</v>
      </c>
    </row>
    <row r="4" spans="1:10" x14ac:dyDescent="0.25">
      <c r="A4" s="1">
        <v>3</v>
      </c>
      <c r="B4" s="1" t="s">
        <v>944</v>
      </c>
      <c r="C4" s="25">
        <v>21965521670</v>
      </c>
      <c r="D4" t="s">
        <v>1042</v>
      </c>
      <c r="E4" s="25" t="s">
        <v>1044</v>
      </c>
      <c r="F4" s="25" t="s">
        <v>49</v>
      </c>
      <c r="G4" s="25" t="s">
        <v>1043</v>
      </c>
      <c r="H4" s="150"/>
      <c r="I4" s="1" t="s">
        <v>1028</v>
      </c>
    </row>
    <row r="5" spans="1:10" x14ac:dyDescent="0.25">
      <c r="A5" s="1">
        <v>4</v>
      </c>
      <c r="B5" s="1" t="s">
        <v>944</v>
      </c>
      <c r="C5" s="25">
        <v>21992456547</v>
      </c>
      <c r="D5" t="s">
        <v>1042</v>
      </c>
      <c r="E5" s="25" t="s">
        <v>1044</v>
      </c>
      <c r="F5" s="25" t="s">
        <v>1048</v>
      </c>
      <c r="G5" s="25" t="s">
        <v>1048</v>
      </c>
      <c r="H5" s="150"/>
      <c r="I5" s="1" t="s">
        <v>203</v>
      </c>
    </row>
    <row r="6" spans="1:10" x14ac:dyDescent="0.25">
      <c r="A6" s="297">
        <v>5</v>
      </c>
      <c r="B6" s="297" t="s">
        <v>944</v>
      </c>
      <c r="C6" s="298">
        <v>21965521793</v>
      </c>
      <c r="D6" s="299" t="s">
        <v>1042</v>
      </c>
      <c r="E6" s="298" t="s">
        <v>1044</v>
      </c>
      <c r="F6" s="298" t="s">
        <v>1046</v>
      </c>
      <c r="G6" s="298" t="s">
        <v>1045</v>
      </c>
      <c r="H6" s="300"/>
      <c r="I6" s="298" t="s">
        <v>1046</v>
      </c>
      <c r="J6" s="296" t="s">
        <v>1563</v>
      </c>
    </row>
    <row r="7" spans="1:10" x14ac:dyDescent="0.25">
      <c r="A7" s="1">
        <v>6</v>
      </c>
      <c r="B7" s="1" t="s">
        <v>944</v>
      </c>
      <c r="C7" s="25">
        <v>21965521831</v>
      </c>
      <c r="D7" t="s">
        <v>1042</v>
      </c>
      <c r="E7" s="25" t="s">
        <v>1044</v>
      </c>
      <c r="F7" s="25" t="s">
        <v>1047</v>
      </c>
      <c r="G7" s="25" t="s">
        <v>1045</v>
      </c>
      <c r="H7" s="150"/>
      <c r="I7" s="25" t="s">
        <v>1047</v>
      </c>
    </row>
    <row r="8" spans="1:10" x14ac:dyDescent="0.25">
      <c r="A8" s="1">
        <v>7</v>
      </c>
      <c r="B8" s="1" t="s">
        <v>944</v>
      </c>
      <c r="C8" s="1">
        <v>21965522147</v>
      </c>
      <c r="D8" t="s">
        <v>1042</v>
      </c>
      <c r="E8" t="s">
        <v>176</v>
      </c>
      <c r="F8" t="s">
        <v>176</v>
      </c>
      <c r="G8" s="1" t="s">
        <v>1041</v>
      </c>
      <c r="H8" s="13">
        <v>44683</v>
      </c>
      <c r="I8" s="1" t="s">
        <v>189</v>
      </c>
    </row>
    <row r="9" spans="1:10" x14ac:dyDescent="0.25">
      <c r="A9" s="1">
        <v>8</v>
      </c>
      <c r="B9" s="1" t="s">
        <v>944</v>
      </c>
      <c r="C9" s="152">
        <v>21994127637</v>
      </c>
      <c r="D9" t="s">
        <v>1042</v>
      </c>
      <c r="E9" t="s">
        <v>176</v>
      </c>
      <c r="F9" t="s">
        <v>176</v>
      </c>
      <c r="G9" s="1" t="s">
        <v>1041</v>
      </c>
      <c r="H9" s="13">
        <v>44683</v>
      </c>
      <c r="I9" s="1" t="s">
        <v>189</v>
      </c>
    </row>
    <row r="10" spans="1:10" x14ac:dyDescent="0.25">
      <c r="A10" s="1">
        <v>9</v>
      </c>
      <c r="B10" s="1" t="s">
        <v>944</v>
      </c>
      <c r="C10" s="152">
        <v>21975803349</v>
      </c>
      <c r="D10" t="s">
        <v>1042</v>
      </c>
      <c r="E10" t="s">
        <v>176</v>
      </c>
      <c r="F10" t="s">
        <v>176</v>
      </c>
      <c r="G10" s="1" t="s">
        <v>1041</v>
      </c>
      <c r="H10" s="13">
        <v>44683</v>
      </c>
      <c r="I10" s="1" t="s">
        <v>189</v>
      </c>
    </row>
    <row r="11" spans="1:10" x14ac:dyDescent="0.25">
      <c r="A11" s="57">
        <v>10</v>
      </c>
      <c r="B11" s="57" t="s">
        <v>944</v>
      </c>
      <c r="C11" s="153">
        <v>21965521236</v>
      </c>
      <c r="D11" s="58" t="s">
        <v>1042</v>
      </c>
      <c r="E11" s="58" t="s">
        <v>176</v>
      </c>
      <c r="F11" s="58" t="s">
        <v>176</v>
      </c>
      <c r="G11" s="57" t="s">
        <v>1041</v>
      </c>
      <c r="H11" s="154">
        <v>44683</v>
      </c>
      <c r="I11" s="57" t="s">
        <v>189</v>
      </c>
    </row>
    <row r="12" spans="1:10" x14ac:dyDescent="0.25">
      <c r="A12" s="1">
        <v>11</v>
      </c>
      <c r="B12" s="1" t="s">
        <v>1039</v>
      </c>
      <c r="C12" s="1">
        <v>21991076980</v>
      </c>
      <c r="D12" t="s">
        <v>1042</v>
      </c>
      <c r="E12" t="s">
        <v>176</v>
      </c>
      <c r="F12" t="s">
        <v>176</v>
      </c>
      <c r="G12" s="1" t="s">
        <v>1041</v>
      </c>
      <c r="H12" s="13">
        <v>44704</v>
      </c>
      <c r="I12" s="1" t="s">
        <v>189</v>
      </c>
    </row>
    <row r="13" spans="1:10" x14ac:dyDescent="0.25">
      <c r="A13" s="1">
        <v>12</v>
      </c>
      <c r="B13" s="1" t="s">
        <v>1039</v>
      </c>
      <c r="C13" s="1">
        <v>21991168310</v>
      </c>
      <c r="D13" t="s">
        <v>1042</v>
      </c>
      <c r="E13" t="s">
        <v>176</v>
      </c>
      <c r="F13" t="s">
        <v>176</v>
      </c>
      <c r="G13" s="1" t="s">
        <v>1041</v>
      </c>
      <c r="H13" s="13">
        <v>44704</v>
      </c>
      <c r="I13" s="1" t="s">
        <v>189</v>
      </c>
    </row>
    <row r="14" spans="1:10" x14ac:dyDescent="0.25">
      <c r="A14" s="1">
        <v>13</v>
      </c>
      <c r="B14" s="1" t="s">
        <v>1039</v>
      </c>
      <c r="C14" s="1">
        <v>21991191915</v>
      </c>
      <c r="D14" t="s">
        <v>1042</v>
      </c>
      <c r="E14" t="s">
        <v>176</v>
      </c>
      <c r="F14" t="s">
        <v>176</v>
      </c>
      <c r="G14" s="1" t="s">
        <v>1041</v>
      </c>
      <c r="H14" s="13">
        <v>44704</v>
      </c>
      <c r="I14" s="1" t="s">
        <v>189</v>
      </c>
    </row>
    <row r="15" spans="1:10" x14ac:dyDescent="0.25">
      <c r="A15" s="1">
        <v>14</v>
      </c>
      <c r="B15" s="1" t="s">
        <v>1039</v>
      </c>
      <c r="C15" s="1">
        <v>21991272035</v>
      </c>
      <c r="D15" t="s">
        <v>1042</v>
      </c>
      <c r="E15" t="s">
        <v>176</v>
      </c>
      <c r="F15" t="s">
        <v>176</v>
      </c>
      <c r="G15" s="1" t="s">
        <v>1041</v>
      </c>
      <c r="H15" s="13">
        <v>44704</v>
      </c>
      <c r="I15" s="1" t="s">
        <v>189</v>
      </c>
    </row>
    <row r="16" spans="1:10" x14ac:dyDescent="0.25">
      <c r="A16" s="1">
        <v>15</v>
      </c>
      <c r="B16" s="1" t="s">
        <v>1039</v>
      </c>
      <c r="C16" s="1">
        <v>21991483125</v>
      </c>
      <c r="D16" t="s">
        <v>1042</v>
      </c>
      <c r="E16" s="1" t="s">
        <v>1044</v>
      </c>
      <c r="F16" s="1" t="s">
        <v>236</v>
      </c>
      <c r="G16" s="1" t="s">
        <v>1044</v>
      </c>
      <c r="H16" s="13">
        <v>44854</v>
      </c>
      <c r="I16" s="1" t="s">
        <v>511</v>
      </c>
    </row>
    <row r="17" spans="1:9" x14ac:dyDescent="0.25">
      <c r="A17" s="1">
        <v>16</v>
      </c>
      <c r="B17" s="1" t="s">
        <v>1039</v>
      </c>
      <c r="C17" s="1">
        <v>21991628835</v>
      </c>
      <c r="D17" t="s">
        <v>1042</v>
      </c>
      <c r="E17" s="1" t="s">
        <v>1044</v>
      </c>
      <c r="F17" s="1" t="s">
        <v>1046</v>
      </c>
      <c r="G17" s="1" t="s">
        <v>1045</v>
      </c>
      <c r="H17" s="13">
        <v>44854</v>
      </c>
      <c r="I17" s="1" t="s">
        <v>1046</v>
      </c>
    </row>
    <row r="18" spans="1:9" x14ac:dyDescent="0.25">
      <c r="A18" s="1">
        <v>17</v>
      </c>
      <c r="B18" s="1" t="s">
        <v>1039</v>
      </c>
      <c r="C18" s="1">
        <v>21991695650</v>
      </c>
      <c r="D18" t="s">
        <v>1042</v>
      </c>
      <c r="E18" s="1" t="s">
        <v>218</v>
      </c>
      <c r="G18" s="1"/>
    </row>
    <row r="19" spans="1:9" x14ac:dyDescent="0.25">
      <c r="A19" s="1">
        <v>18</v>
      </c>
      <c r="B19" s="1" t="s">
        <v>1039</v>
      </c>
      <c r="C19" s="1">
        <v>21991788635</v>
      </c>
      <c r="D19" t="s">
        <v>1042</v>
      </c>
      <c r="E19" s="1" t="s">
        <v>218</v>
      </c>
      <c r="G19" s="1"/>
    </row>
    <row r="20" spans="1:9" x14ac:dyDescent="0.25">
      <c r="A20" s="1">
        <v>19</v>
      </c>
      <c r="B20" s="1" t="s">
        <v>1039</v>
      </c>
      <c r="C20" s="1">
        <v>21991826341</v>
      </c>
      <c r="D20" t="s">
        <v>1042</v>
      </c>
      <c r="E20" s="1" t="s">
        <v>218</v>
      </c>
      <c r="G20" s="1"/>
    </row>
    <row r="21" spans="1:9" x14ac:dyDescent="0.25">
      <c r="A21" s="1">
        <v>20</v>
      </c>
      <c r="B21" s="1" t="s">
        <v>1039</v>
      </c>
      <c r="C21" s="1">
        <v>21991938300</v>
      </c>
      <c r="D21" t="s">
        <v>1042</v>
      </c>
      <c r="E21" s="1" t="s">
        <v>1062</v>
      </c>
      <c r="F21" s="1" t="s">
        <v>1063</v>
      </c>
      <c r="G21" s="1" t="s">
        <v>1062</v>
      </c>
      <c r="H21" s="13">
        <v>44721</v>
      </c>
      <c r="I21" s="1" t="s">
        <v>511</v>
      </c>
    </row>
    <row r="22" spans="1:9" x14ac:dyDescent="0.25">
      <c r="G22" s="1"/>
    </row>
    <row r="23" spans="1:9" x14ac:dyDescent="0.25">
      <c r="G23" s="1"/>
    </row>
  </sheetData>
  <autoFilter ref="B1:H21" xr:uid="{7B1FE953-E7E0-48C5-AE95-26E0C8D136E9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0"/>
  <dimension ref="A1:I24"/>
  <sheetViews>
    <sheetView zoomScale="90" zoomScaleNormal="9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20.5703125" style="1" bestFit="1" customWidth="1"/>
    <col min="2" max="2" width="23.85546875" style="1" bestFit="1" customWidth="1"/>
    <col min="3" max="3" width="14.5703125" style="1" bestFit="1" customWidth="1"/>
    <col min="4" max="4" width="45.5703125" bestFit="1" customWidth="1"/>
    <col min="5" max="5" width="17.85546875" style="1" customWidth="1"/>
    <col min="6" max="6" width="17.140625" style="1" customWidth="1"/>
    <col min="7" max="7" width="15.5703125" customWidth="1"/>
    <col min="8" max="8" width="15.85546875" customWidth="1"/>
    <col min="9" max="9" width="9.140625" style="1"/>
  </cols>
  <sheetData>
    <row r="1" spans="1:9" ht="25.5" customHeight="1" x14ac:dyDescent="0.25">
      <c r="A1" s="64" t="s">
        <v>702</v>
      </c>
      <c r="B1" s="64" t="s">
        <v>709</v>
      </c>
      <c r="C1" s="64" t="s">
        <v>558</v>
      </c>
      <c r="D1" s="65" t="s">
        <v>704</v>
      </c>
      <c r="E1" s="64" t="s">
        <v>705</v>
      </c>
      <c r="F1" s="66" t="s">
        <v>703</v>
      </c>
      <c r="G1" s="66" t="s">
        <v>708</v>
      </c>
      <c r="H1" s="89" t="s">
        <v>707</v>
      </c>
      <c r="I1" s="67" t="s">
        <v>710</v>
      </c>
    </row>
    <row r="2" spans="1:9" x14ac:dyDescent="0.25">
      <c r="A2" s="316"/>
      <c r="B2" s="30" t="s">
        <v>981</v>
      </c>
      <c r="C2" s="30" t="s">
        <v>349</v>
      </c>
      <c r="D2" s="43" t="s">
        <v>982</v>
      </c>
      <c r="E2" s="316"/>
      <c r="F2" s="316"/>
      <c r="G2" s="316"/>
      <c r="H2" s="316"/>
      <c r="I2" s="316"/>
    </row>
    <row r="3" spans="1:9" x14ac:dyDescent="0.25">
      <c r="A3" s="63">
        <v>44862</v>
      </c>
      <c r="B3" s="30" t="s">
        <v>981</v>
      </c>
      <c r="C3" s="30" t="s">
        <v>349</v>
      </c>
      <c r="D3" s="43" t="s">
        <v>980</v>
      </c>
      <c r="E3" s="30">
        <v>1</v>
      </c>
      <c r="F3" s="30"/>
      <c r="G3" s="90">
        <v>4</v>
      </c>
      <c r="H3" s="91"/>
      <c r="I3" s="30">
        <f t="shared" ref="I3:I8" si="0">SUM(G3:H3)</f>
        <v>4</v>
      </c>
    </row>
    <row r="4" spans="1:9" x14ac:dyDescent="0.25">
      <c r="A4" s="63">
        <v>44862</v>
      </c>
      <c r="B4" s="30" t="s">
        <v>981</v>
      </c>
      <c r="C4" s="30" t="s">
        <v>349</v>
      </c>
      <c r="D4" s="43" t="s">
        <v>706</v>
      </c>
      <c r="E4" s="30">
        <v>6</v>
      </c>
      <c r="F4" s="30"/>
      <c r="G4" s="90">
        <v>1</v>
      </c>
      <c r="H4" s="91"/>
      <c r="I4" s="30">
        <f t="shared" si="0"/>
        <v>1</v>
      </c>
    </row>
    <row r="5" spans="1:9" x14ac:dyDescent="0.25">
      <c r="A5" s="30"/>
      <c r="B5" s="30"/>
      <c r="C5" s="30"/>
      <c r="D5" s="43"/>
      <c r="E5" s="30"/>
      <c r="F5" s="30"/>
      <c r="G5" s="90"/>
      <c r="H5" s="91"/>
      <c r="I5" s="30">
        <f t="shared" si="0"/>
        <v>0</v>
      </c>
    </row>
    <row r="6" spans="1:9" x14ac:dyDescent="0.25">
      <c r="A6" s="30"/>
      <c r="B6" s="30"/>
      <c r="C6" s="30"/>
      <c r="D6" s="43"/>
      <c r="E6" s="30"/>
      <c r="F6" s="30"/>
      <c r="G6" s="90"/>
      <c r="H6" s="91"/>
      <c r="I6" s="30">
        <f t="shared" si="0"/>
        <v>0</v>
      </c>
    </row>
    <row r="7" spans="1:9" x14ac:dyDescent="0.25">
      <c r="A7" s="30"/>
      <c r="B7" s="30"/>
      <c r="C7" s="30"/>
      <c r="D7" s="43"/>
      <c r="E7" s="30"/>
      <c r="F7" s="30"/>
      <c r="G7" s="90"/>
      <c r="H7" s="91"/>
      <c r="I7" s="30">
        <f t="shared" si="0"/>
        <v>0</v>
      </c>
    </row>
    <row r="8" spans="1:9" x14ac:dyDescent="0.25">
      <c r="A8" s="30"/>
      <c r="B8" s="30"/>
      <c r="C8" s="30"/>
      <c r="D8" s="43"/>
      <c r="E8" s="30"/>
      <c r="F8" s="30"/>
      <c r="G8" s="90"/>
      <c r="H8" s="91"/>
      <c r="I8" s="30">
        <f t="shared" si="0"/>
        <v>0</v>
      </c>
    </row>
    <row r="9" spans="1:9" x14ac:dyDescent="0.25">
      <c r="A9" s="30"/>
      <c r="B9" s="30"/>
      <c r="C9" s="30"/>
      <c r="D9" s="43"/>
      <c r="E9" s="30"/>
      <c r="F9" s="30"/>
      <c r="G9" s="90"/>
      <c r="H9" s="91"/>
      <c r="I9" s="30">
        <f t="shared" ref="I9:I24" si="1">SUM(G9:H9)</f>
        <v>0</v>
      </c>
    </row>
    <row r="10" spans="1:9" x14ac:dyDescent="0.25">
      <c r="A10" s="30"/>
      <c r="B10" s="30"/>
      <c r="C10" s="30"/>
      <c r="D10" s="43"/>
      <c r="E10" s="30"/>
      <c r="F10" s="30"/>
      <c r="G10" s="90"/>
      <c r="H10" s="91"/>
      <c r="I10" s="30">
        <f t="shared" si="1"/>
        <v>0</v>
      </c>
    </row>
    <row r="11" spans="1:9" x14ac:dyDescent="0.25">
      <c r="A11" s="30"/>
      <c r="B11" s="30"/>
      <c r="C11" s="30"/>
      <c r="D11" s="43"/>
      <c r="E11" s="30"/>
      <c r="F11" s="30"/>
      <c r="G11" s="90"/>
      <c r="H11" s="91"/>
      <c r="I11" s="30">
        <f t="shared" si="1"/>
        <v>0</v>
      </c>
    </row>
    <row r="12" spans="1:9" x14ac:dyDescent="0.25">
      <c r="A12" s="30"/>
      <c r="B12" s="30"/>
      <c r="C12" s="30"/>
      <c r="D12" s="43"/>
      <c r="E12" s="30"/>
      <c r="F12" s="30"/>
      <c r="G12" s="90"/>
      <c r="H12" s="91"/>
      <c r="I12" s="30">
        <f t="shared" si="1"/>
        <v>0</v>
      </c>
    </row>
    <row r="13" spans="1:9" x14ac:dyDescent="0.25">
      <c r="A13" s="30"/>
      <c r="B13" s="30"/>
      <c r="C13" s="30"/>
      <c r="D13" s="43"/>
      <c r="E13" s="30"/>
      <c r="F13" s="30"/>
      <c r="G13" s="90"/>
      <c r="H13" s="91"/>
      <c r="I13" s="30">
        <f t="shared" si="1"/>
        <v>0</v>
      </c>
    </row>
    <row r="14" spans="1:9" x14ac:dyDescent="0.25">
      <c r="A14" s="30"/>
      <c r="B14" s="30"/>
      <c r="C14" s="30"/>
      <c r="D14" s="43"/>
      <c r="E14" s="30"/>
      <c r="F14" s="30"/>
      <c r="G14" s="90"/>
      <c r="H14" s="91"/>
      <c r="I14" s="30">
        <f t="shared" si="1"/>
        <v>0</v>
      </c>
    </row>
    <row r="15" spans="1:9" x14ac:dyDescent="0.25">
      <c r="A15" s="30"/>
      <c r="B15" s="30"/>
      <c r="C15" s="30"/>
      <c r="D15" s="43"/>
      <c r="E15" s="30"/>
      <c r="F15" s="30"/>
      <c r="G15" s="90"/>
      <c r="H15" s="91"/>
      <c r="I15" s="30">
        <f t="shared" si="1"/>
        <v>0</v>
      </c>
    </row>
    <row r="16" spans="1:9" x14ac:dyDescent="0.25">
      <c r="A16" s="30"/>
      <c r="B16" s="30"/>
      <c r="C16" s="30"/>
      <c r="D16" s="43"/>
      <c r="E16" s="30"/>
      <c r="F16" s="30"/>
      <c r="G16" s="90"/>
      <c r="H16" s="91"/>
      <c r="I16" s="30">
        <f t="shared" si="1"/>
        <v>0</v>
      </c>
    </row>
    <row r="17" spans="1:9" x14ac:dyDescent="0.25">
      <c r="A17" s="30"/>
      <c r="B17" s="30"/>
      <c r="C17" s="30"/>
      <c r="D17" s="43"/>
      <c r="E17" s="30"/>
      <c r="F17" s="30"/>
      <c r="G17" s="90"/>
      <c r="H17" s="91"/>
      <c r="I17" s="30">
        <f t="shared" si="1"/>
        <v>0</v>
      </c>
    </row>
    <row r="18" spans="1:9" x14ac:dyDescent="0.25">
      <c r="A18" s="30"/>
      <c r="B18" s="30"/>
      <c r="C18" s="30"/>
      <c r="D18" s="43"/>
      <c r="E18" s="30"/>
      <c r="F18" s="30"/>
      <c r="G18" s="90"/>
      <c r="H18" s="91"/>
      <c r="I18" s="30">
        <f t="shared" si="1"/>
        <v>0</v>
      </c>
    </row>
    <row r="19" spans="1:9" x14ac:dyDescent="0.25">
      <c r="A19" s="30"/>
      <c r="B19" s="30"/>
      <c r="C19" s="30"/>
      <c r="D19" s="43"/>
      <c r="E19" s="30"/>
      <c r="F19" s="30"/>
      <c r="G19" s="90"/>
      <c r="H19" s="91"/>
      <c r="I19" s="30">
        <f t="shared" si="1"/>
        <v>0</v>
      </c>
    </row>
    <row r="20" spans="1:9" x14ac:dyDescent="0.25">
      <c r="A20" s="30"/>
      <c r="B20" s="30"/>
      <c r="C20" s="30"/>
      <c r="D20" s="43"/>
      <c r="E20" s="30"/>
      <c r="F20" s="30"/>
      <c r="G20" s="90"/>
      <c r="H20" s="91"/>
      <c r="I20" s="30">
        <f t="shared" si="1"/>
        <v>0</v>
      </c>
    </row>
    <row r="21" spans="1:9" x14ac:dyDescent="0.25">
      <c r="A21" s="30"/>
      <c r="B21" s="30"/>
      <c r="C21" s="30"/>
      <c r="D21" s="43"/>
      <c r="E21" s="30"/>
      <c r="F21" s="30"/>
      <c r="G21" s="90"/>
      <c r="H21" s="91"/>
      <c r="I21" s="30">
        <f t="shared" si="1"/>
        <v>0</v>
      </c>
    </row>
    <row r="22" spans="1:9" x14ac:dyDescent="0.25">
      <c r="A22" s="30"/>
      <c r="B22" s="30"/>
      <c r="C22" s="30"/>
      <c r="D22" s="43"/>
      <c r="E22" s="30"/>
      <c r="F22" s="30"/>
      <c r="G22" s="90"/>
      <c r="H22" s="91"/>
      <c r="I22" s="30">
        <f t="shared" si="1"/>
        <v>0</v>
      </c>
    </row>
    <row r="23" spans="1:9" x14ac:dyDescent="0.25">
      <c r="A23" s="30"/>
      <c r="B23" s="30"/>
      <c r="C23" s="30"/>
      <c r="D23" s="43"/>
      <c r="E23" s="30"/>
      <c r="F23" s="30"/>
      <c r="G23" s="90"/>
      <c r="H23" s="91"/>
      <c r="I23" s="30">
        <f t="shared" si="1"/>
        <v>0</v>
      </c>
    </row>
    <row r="24" spans="1:9" x14ac:dyDescent="0.25">
      <c r="A24" s="30"/>
      <c r="B24" s="30"/>
      <c r="C24" s="30"/>
      <c r="D24" s="43"/>
      <c r="E24" s="30"/>
      <c r="F24" s="30"/>
      <c r="G24" s="90"/>
      <c r="H24" s="91"/>
      <c r="I24" s="30">
        <f t="shared" si="1"/>
        <v>0</v>
      </c>
    </row>
  </sheetData>
  <autoFilter ref="A1:H1" xr:uid="{00000000-0009-0000-0000-000001000000}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J60"/>
  <sheetViews>
    <sheetView topLeftCell="A10" workbookViewId="0">
      <selection activeCell="A19" sqref="A19:J41"/>
    </sheetView>
  </sheetViews>
  <sheetFormatPr defaultRowHeight="15" x14ac:dyDescent="0.25"/>
  <cols>
    <col min="1" max="1" width="14.28515625" bestFit="1" customWidth="1"/>
    <col min="2" max="2" width="17.5703125" bestFit="1" customWidth="1"/>
    <col min="3" max="3" width="14.85546875" bestFit="1" customWidth="1"/>
    <col min="4" max="4" width="10.7109375" bestFit="1" customWidth="1"/>
    <col min="5" max="5" width="18.28515625" bestFit="1" customWidth="1"/>
    <col min="6" max="6" width="13.28515625" bestFit="1" customWidth="1"/>
    <col min="8" max="8" width="12.140625" bestFit="1" customWidth="1"/>
    <col min="10" max="10" width="12.7109375" bestFit="1" customWidth="1"/>
  </cols>
  <sheetData>
    <row r="1" spans="1:10" x14ac:dyDescent="0.25">
      <c r="A1" s="449" t="s">
        <v>273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0" x14ac:dyDescent="0.25">
      <c r="A2" s="3" t="s">
        <v>2</v>
      </c>
      <c r="B2" s="3" t="s">
        <v>3</v>
      </c>
      <c r="C2" s="3" t="s">
        <v>5</v>
      </c>
      <c r="D2" s="3" t="s">
        <v>4</v>
      </c>
      <c r="E2" s="3" t="s">
        <v>13</v>
      </c>
      <c r="F2" s="3" t="s">
        <v>6</v>
      </c>
      <c r="G2" s="3" t="s">
        <v>15</v>
      </c>
      <c r="H2" s="3" t="s">
        <v>7</v>
      </c>
      <c r="I2" s="3" t="s">
        <v>86</v>
      </c>
      <c r="J2" s="3" t="s">
        <v>235</v>
      </c>
    </row>
    <row r="3" spans="1:10" x14ac:dyDescent="0.25">
      <c r="A3" s="2" t="s">
        <v>8</v>
      </c>
      <c r="B3" s="2" t="s">
        <v>9</v>
      </c>
      <c r="C3" s="4">
        <v>192168254240</v>
      </c>
      <c r="D3" s="2" t="s">
        <v>10</v>
      </c>
      <c r="E3" s="2" t="s">
        <v>14</v>
      </c>
      <c r="F3" s="2"/>
      <c r="G3" s="2">
        <v>4</v>
      </c>
      <c r="H3" s="2" t="s">
        <v>12</v>
      </c>
      <c r="I3" s="2">
        <v>500</v>
      </c>
      <c r="J3" s="2"/>
    </row>
    <row r="4" spans="1:10" x14ac:dyDescent="0.25">
      <c r="A4" s="3" t="s">
        <v>8</v>
      </c>
      <c r="B4" s="3" t="s">
        <v>224</v>
      </c>
      <c r="C4" s="5">
        <v>192168254241</v>
      </c>
      <c r="D4" s="3" t="s">
        <v>10</v>
      </c>
      <c r="E4" s="3" t="s">
        <v>14</v>
      </c>
      <c r="F4" s="3"/>
      <c r="G4" s="3">
        <v>8</v>
      </c>
      <c r="H4" s="3" t="s">
        <v>12</v>
      </c>
      <c r="I4" s="3" t="s">
        <v>87</v>
      </c>
      <c r="J4" s="3"/>
    </row>
    <row r="5" spans="1:10" x14ac:dyDescent="0.25">
      <c r="A5" s="2" t="s">
        <v>22</v>
      </c>
      <c r="B5" s="2" t="s">
        <v>25</v>
      </c>
      <c r="C5" s="4">
        <v>192168254155</v>
      </c>
      <c r="D5" s="2" t="s">
        <v>24</v>
      </c>
      <c r="E5" s="2" t="s">
        <v>23</v>
      </c>
      <c r="F5" s="2" t="s">
        <v>26</v>
      </c>
      <c r="G5" s="2">
        <v>3</v>
      </c>
      <c r="H5" s="2" t="s">
        <v>27</v>
      </c>
      <c r="I5" s="2"/>
      <c r="J5" s="2" t="s">
        <v>249</v>
      </c>
    </row>
    <row r="6" spans="1:10" x14ac:dyDescent="0.25">
      <c r="A6" s="3" t="s">
        <v>22</v>
      </c>
      <c r="B6" s="3" t="s">
        <v>28</v>
      </c>
      <c r="C6" s="3" t="s">
        <v>29</v>
      </c>
      <c r="D6" s="3" t="s">
        <v>31</v>
      </c>
      <c r="E6" s="3" t="s">
        <v>23</v>
      </c>
      <c r="F6" s="3" t="s">
        <v>26</v>
      </c>
      <c r="G6" s="3">
        <v>2</v>
      </c>
      <c r="H6" s="3" t="s">
        <v>99</v>
      </c>
      <c r="I6" s="3">
        <v>500</v>
      </c>
      <c r="J6" s="3" t="s">
        <v>250</v>
      </c>
    </row>
    <row r="7" spans="1:10" x14ac:dyDescent="0.25">
      <c r="A7" s="2" t="s">
        <v>54</v>
      </c>
      <c r="B7" s="2" t="s">
        <v>37</v>
      </c>
      <c r="C7" s="2" t="s">
        <v>38</v>
      </c>
      <c r="D7" s="2" t="s">
        <v>72</v>
      </c>
      <c r="E7" s="2" t="s">
        <v>73</v>
      </c>
      <c r="F7" s="2" t="s">
        <v>26</v>
      </c>
      <c r="G7" s="2">
        <v>2</v>
      </c>
      <c r="H7" s="2" t="s">
        <v>74</v>
      </c>
      <c r="I7" s="2"/>
      <c r="J7" s="2" t="s">
        <v>252</v>
      </c>
    </row>
    <row r="8" spans="1:10" x14ac:dyDescent="0.25">
      <c r="A8" s="3" t="s">
        <v>53</v>
      </c>
      <c r="B8" s="3" t="s">
        <v>51</v>
      </c>
      <c r="C8" s="5">
        <v>192168254239</v>
      </c>
      <c r="D8" s="3" t="s">
        <v>52</v>
      </c>
      <c r="E8" s="3" t="s">
        <v>14</v>
      </c>
      <c r="F8" s="3" t="s">
        <v>11</v>
      </c>
      <c r="G8" s="3">
        <v>8</v>
      </c>
      <c r="H8" s="3" t="s">
        <v>12</v>
      </c>
      <c r="I8" s="3"/>
      <c r="J8" s="3"/>
    </row>
    <row r="9" spans="1:10" x14ac:dyDescent="0.25">
      <c r="A9" s="2" t="s">
        <v>63</v>
      </c>
      <c r="B9" s="2" t="s">
        <v>226</v>
      </c>
      <c r="C9" s="4">
        <v>192168254131</v>
      </c>
      <c r="D9" s="2" t="s">
        <v>236</v>
      </c>
      <c r="E9" s="2" t="s">
        <v>58</v>
      </c>
      <c r="F9" s="2" t="s">
        <v>19</v>
      </c>
      <c r="G9" s="2">
        <v>4</v>
      </c>
      <c r="H9" s="2" t="s">
        <v>97</v>
      </c>
      <c r="I9" s="2">
        <v>500</v>
      </c>
      <c r="J9" s="2" t="s">
        <v>253</v>
      </c>
    </row>
    <row r="10" spans="1:10" x14ac:dyDescent="0.25">
      <c r="A10" s="3" t="s">
        <v>48</v>
      </c>
      <c r="B10" s="3" t="s">
        <v>231</v>
      </c>
      <c r="C10" s="5">
        <v>192168254186</v>
      </c>
      <c r="D10" s="3" t="s">
        <v>24</v>
      </c>
      <c r="E10" s="3" t="s">
        <v>56</v>
      </c>
      <c r="F10" s="3" t="s">
        <v>26</v>
      </c>
      <c r="G10" s="3">
        <v>2</v>
      </c>
      <c r="H10" s="3" t="s">
        <v>57</v>
      </c>
      <c r="I10" s="3"/>
      <c r="J10" s="3" t="s">
        <v>254</v>
      </c>
    </row>
    <row r="11" spans="1:10" x14ac:dyDescent="0.25">
      <c r="A11" s="2" t="s">
        <v>59</v>
      </c>
      <c r="B11" s="2" t="s">
        <v>60</v>
      </c>
      <c r="C11" s="4">
        <v>192168254121</v>
      </c>
      <c r="D11" s="2" t="s">
        <v>61</v>
      </c>
      <c r="E11" s="2" t="s">
        <v>58</v>
      </c>
      <c r="F11" s="2" t="s">
        <v>19</v>
      </c>
      <c r="G11" s="2">
        <v>4</v>
      </c>
      <c r="H11" s="2" t="s">
        <v>62</v>
      </c>
      <c r="I11" s="2"/>
      <c r="J11" s="2" t="s">
        <v>255</v>
      </c>
    </row>
    <row r="12" spans="1:10" x14ac:dyDescent="0.25">
      <c r="A12" s="3" t="s">
        <v>22</v>
      </c>
      <c r="B12" s="3" t="s">
        <v>242</v>
      </c>
      <c r="C12" s="5">
        <v>192168254161</v>
      </c>
      <c r="D12" s="3" t="s">
        <v>55</v>
      </c>
      <c r="E12" s="3" t="s">
        <v>245</v>
      </c>
      <c r="F12" s="3" t="s">
        <v>26</v>
      </c>
      <c r="G12" s="3">
        <v>2</v>
      </c>
      <c r="H12" s="3" t="s">
        <v>30</v>
      </c>
      <c r="I12" s="3">
        <v>500</v>
      </c>
      <c r="J12" s="3"/>
    </row>
    <row r="13" spans="1:10" x14ac:dyDescent="0.25">
      <c r="A13" s="2" t="s">
        <v>210</v>
      </c>
      <c r="B13" s="2" t="s">
        <v>192</v>
      </c>
      <c r="C13" s="4">
        <v>192168254123</v>
      </c>
      <c r="D13" s="2" t="s">
        <v>66</v>
      </c>
      <c r="E13" s="2" t="s">
        <v>67</v>
      </c>
      <c r="F13" s="2" t="s">
        <v>26</v>
      </c>
      <c r="G13" s="2">
        <v>2</v>
      </c>
      <c r="H13" s="2" t="s">
        <v>211</v>
      </c>
      <c r="I13" s="2" t="s">
        <v>212</v>
      </c>
      <c r="J13" s="2" t="s">
        <v>257</v>
      </c>
    </row>
    <row r="14" spans="1:10" x14ac:dyDescent="0.25">
      <c r="A14" s="3" t="s">
        <v>54</v>
      </c>
      <c r="B14" s="3" t="s">
        <v>68</v>
      </c>
      <c r="C14" s="3" t="s">
        <v>69</v>
      </c>
      <c r="D14" s="3" t="s">
        <v>52</v>
      </c>
      <c r="E14" s="3" t="s">
        <v>70</v>
      </c>
      <c r="F14" s="3" t="s">
        <v>26</v>
      </c>
      <c r="G14" s="3">
        <v>1</v>
      </c>
      <c r="H14" s="3" t="s">
        <v>71</v>
      </c>
      <c r="I14" s="3"/>
      <c r="J14" s="3" t="s">
        <v>258</v>
      </c>
    </row>
    <row r="15" spans="1:10" x14ac:dyDescent="0.25">
      <c r="A15" s="2" t="s">
        <v>75</v>
      </c>
      <c r="B15" s="2" t="s">
        <v>76</v>
      </c>
      <c r="C15" s="4">
        <v>192168254229</v>
      </c>
      <c r="D15" s="2" t="s">
        <v>229</v>
      </c>
      <c r="E15" s="2" t="s">
        <v>77</v>
      </c>
      <c r="F15" s="2" t="s">
        <v>19</v>
      </c>
      <c r="G15" s="2">
        <v>4</v>
      </c>
      <c r="H15" s="2" t="s">
        <v>78</v>
      </c>
      <c r="I15" s="2"/>
      <c r="J15" s="2" t="s">
        <v>260</v>
      </c>
    </row>
    <row r="16" spans="1:10" x14ac:dyDescent="0.25">
      <c r="A16" s="3" t="s">
        <v>22</v>
      </c>
      <c r="B16" s="3" t="s">
        <v>79</v>
      </c>
      <c r="C16" s="5">
        <v>192168254214</v>
      </c>
      <c r="D16" s="3" t="s">
        <v>197</v>
      </c>
      <c r="E16" s="3" t="s">
        <v>80</v>
      </c>
      <c r="F16" s="3" t="s">
        <v>26</v>
      </c>
      <c r="G16" s="3">
        <v>3</v>
      </c>
      <c r="H16" s="3" t="s">
        <v>153</v>
      </c>
      <c r="I16" s="3"/>
      <c r="J16" s="3" t="s">
        <v>251</v>
      </c>
    </row>
    <row r="17" spans="1:10" x14ac:dyDescent="0.25">
      <c r="A17" s="2" t="s">
        <v>63</v>
      </c>
      <c r="B17" s="2" t="s">
        <v>45</v>
      </c>
      <c r="C17" s="4">
        <v>192168254160</v>
      </c>
      <c r="D17" s="2" t="s">
        <v>81</v>
      </c>
      <c r="E17" s="2" t="s">
        <v>82</v>
      </c>
      <c r="F17" s="2" t="s">
        <v>19</v>
      </c>
      <c r="G17" s="2">
        <v>4</v>
      </c>
      <c r="H17" s="2" t="s">
        <v>83</v>
      </c>
      <c r="I17" s="2"/>
      <c r="J17" s="2" t="s">
        <v>261</v>
      </c>
    </row>
    <row r="19" spans="1:10" x14ac:dyDescent="0.25">
      <c r="A19" s="450" t="s">
        <v>0</v>
      </c>
      <c r="B19" s="450"/>
      <c r="C19" s="450"/>
      <c r="D19" s="450"/>
      <c r="E19" s="450"/>
      <c r="F19" s="450"/>
      <c r="G19" s="450"/>
      <c r="H19" s="450"/>
      <c r="I19" s="450"/>
      <c r="J19" s="450"/>
    </row>
    <row r="20" spans="1:10" x14ac:dyDescent="0.25">
      <c r="A20" s="3" t="s">
        <v>2</v>
      </c>
      <c r="B20" s="3" t="s">
        <v>3</v>
      </c>
      <c r="C20" s="3" t="s">
        <v>5</v>
      </c>
      <c r="D20" s="3" t="s">
        <v>4</v>
      </c>
      <c r="E20" s="3" t="s">
        <v>13</v>
      </c>
      <c r="F20" s="3" t="s">
        <v>6</v>
      </c>
      <c r="G20" s="3" t="s">
        <v>15</v>
      </c>
      <c r="H20" s="3" t="s">
        <v>7</v>
      </c>
      <c r="I20" s="3" t="s">
        <v>86</v>
      </c>
      <c r="J20" s="6" t="s">
        <v>195</v>
      </c>
    </row>
    <row r="21" spans="1:10" x14ac:dyDescent="0.25">
      <c r="A21" s="2" t="s">
        <v>136</v>
      </c>
      <c r="B21" s="2" t="s">
        <v>32</v>
      </c>
      <c r="C21" s="2" t="s">
        <v>33</v>
      </c>
      <c r="D21" s="2" t="s">
        <v>132</v>
      </c>
      <c r="E21" s="2" t="s">
        <v>18</v>
      </c>
      <c r="F21" s="2" t="s">
        <v>19</v>
      </c>
      <c r="G21" s="2">
        <v>4</v>
      </c>
      <c r="H21" s="2" t="s">
        <v>133</v>
      </c>
      <c r="I21" s="2">
        <v>500</v>
      </c>
      <c r="J21" s="2" t="s">
        <v>262</v>
      </c>
    </row>
    <row r="22" spans="1:10" x14ac:dyDescent="0.25">
      <c r="A22" s="3" t="s">
        <v>75</v>
      </c>
      <c r="B22" s="3" t="s">
        <v>222</v>
      </c>
      <c r="C22" s="5">
        <v>192168254181</v>
      </c>
      <c r="D22" s="3" t="s">
        <v>199</v>
      </c>
      <c r="E22" s="3" t="s">
        <v>49</v>
      </c>
      <c r="F22" s="3" t="s">
        <v>19</v>
      </c>
      <c r="G22" s="3">
        <v>6</v>
      </c>
      <c r="H22" s="3" t="s">
        <v>124</v>
      </c>
      <c r="I22" s="3">
        <v>500</v>
      </c>
      <c r="J22" s="3" t="s">
        <v>263</v>
      </c>
    </row>
    <row r="23" spans="1:10" x14ac:dyDescent="0.25">
      <c r="A23" s="2" t="s">
        <v>63</v>
      </c>
      <c r="B23" s="2" t="s">
        <v>230</v>
      </c>
      <c r="C23" s="4">
        <v>192168254189</v>
      </c>
      <c r="D23" s="2" t="s">
        <v>200</v>
      </c>
      <c r="E23" s="2" t="s">
        <v>114</v>
      </c>
      <c r="F23" s="2" t="s">
        <v>19</v>
      </c>
      <c r="G23" s="2">
        <v>4</v>
      </c>
      <c r="H23" s="2" t="s">
        <v>115</v>
      </c>
      <c r="I23" s="2">
        <v>500</v>
      </c>
      <c r="J23" s="2"/>
    </row>
    <row r="24" spans="1:10" x14ac:dyDescent="0.25">
      <c r="A24" s="3" t="s">
        <v>21</v>
      </c>
      <c r="B24" s="3" t="s">
        <v>16</v>
      </c>
      <c r="C24" s="5">
        <v>192168254104</v>
      </c>
      <c r="D24" s="3" t="s">
        <v>17</v>
      </c>
      <c r="E24" s="3" t="s">
        <v>18</v>
      </c>
      <c r="F24" s="3" t="s">
        <v>19</v>
      </c>
      <c r="G24" s="3">
        <v>4</v>
      </c>
      <c r="H24" s="3" t="s">
        <v>20</v>
      </c>
      <c r="I24" s="3">
        <v>240</v>
      </c>
      <c r="J24" s="3" t="s">
        <v>264</v>
      </c>
    </row>
    <row r="25" spans="1:10" x14ac:dyDescent="0.25">
      <c r="A25" s="2" t="s">
        <v>63</v>
      </c>
      <c r="B25" s="2" t="s">
        <v>46</v>
      </c>
      <c r="C25" s="4">
        <v>192168254208</v>
      </c>
      <c r="D25" s="2" t="s">
        <v>84</v>
      </c>
      <c r="E25" s="2" t="s">
        <v>18</v>
      </c>
      <c r="F25" s="2" t="s">
        <v>19</v>
      </c>
      <c r="G25" s="2">
        <v>4</v>
      </c>
      <c r="H25" s="2" t="s">
        <v>85</v>
      </c>
      <c r="I25" s="2" t="s">
        <v>87</v>
      </c>
      <c r="J25" s="2" t="s">
        <v>265</v>
      </c>
    </row>
    <row r="26" spans="1:10" x14ac:dyDescent="0.25">
      <c r="A26" s="3" t="s">
        <v>63</v>
      </c>
      <c r="B26" s="3" t="s">
        <v>43</v>
      </c>
      <c r="C26" s="5">
        <v>192168254130</v>
      </c>
      <c r="D26" s="3" t="s">
        <v>134</v>
      </c>
      <c r="E26" s="3" t="s">
        <v>18</v>
      </c>
      <c r="F26" s="3" t="s">
        <v>19</v>
      </c>
      <c r="G26" s="3">
        <v>4</v>
      </c>
      <c r="H26" s="3" t="s">
        <v>135</v>
      </c>
      <c r="I26" s="3">
        <v>240</v>
      </c>
      <c r="J26" s="3" t="s">
        <v>266</v>
      </c>
    </row>
    <row r="27" spans="1:10" x14ac:dyDescent="0.25">
      <c r="A27" s="2" t="s">
        <v>91</v>
      </c>
      <c r="B27" s="2" t="s">
        <v>44</v>
      </c>
      <c r="C27" s="4">
        <v>192168254187</v>
      </c>
      <c r="D27" s="2" t="s">
        <v>137</v>
      </c>
      <c r="E27" s="2" t="s">
        <v>18</v>
      </c>
      <c r="F27" s="2" t="s">
        <v>19</v>
      </c>
      <c r="G27" s="2">
        <v>4</v>
      </c>
      <c r="H27" s="2" t="s">
        <v>160</v>
      </c>
      <c r="I27" s="2">
        <v>500</v>
      </c>
      <c r="J27" s="2" t="s">
        <v>267</v>
      </c>
    </row>
    <row r="28" spans="1:10" x14ac:dyDescent="0.25">
      <c r="A28" s="3" t="s">
        <v>91</v>
      </c>
      <c r="B28" s="3" t="s">
        <v>228</v>
      </c>
      <c r="C28" s="5">
        <v>192168254180</v>
      </c>
      <c r="D28" s="3" t="s">
        <v>96</v>
      </c>
      <c r="E28" s="3" t="s">
        <v>18</v>
      </c>
      <c r="F28" s="3" t="s">
        <v>19</v>
      </c>
      <c r="G28" s="3">
        <v>4</v>
      </c>
      <c r="H28" s="3" t="s">
        <v>94</v>
      </c>
      <c r="I28" s="3">
        <v>500</v>
      </c>
      <c r="J28" s="3" t="s">
        <v>227</v>
      </c>
    </row>
    <row r="29" spans="1:10" x14ac:dyDescent="0.25">
      <c r="A29" s="11" t="s">
        <v>187</v>
      </c>
      <c r="B29" s="11" t="s">
        <v>34</v>
      </c>
      <c r="C29" s="12">
        <v>192168254132</v>
      </c>
      <c r="D29" s="11" t="s">
        <v>98</v>
      </c>
      <c r="E29" s="11" t="s">
        <v>172</v>
      </c>
      <c r="F29" s="11" t="s">
        <v>19</v>
      </c>
      <c r="G29" s="11">
        <v>4</v>
      </c>
      <c r="H29" s="11" t="s">
        <v>182</v>
      </c>
      <c r="I29" s="11" t="s">
        <v>87</v>
      </c>
      <c r="J29" s="2" t="s">
        <v>256</v>
      </c>
    </row>
    <row r="30" spans="1:10" x14ac:dyDescent="0.25">
      <c r="A30" s="3" t="s">
        <v>63</v>
      </c>
      <c r="B30" s="3" t="s">
        <v>100</v>
      </c>
      <c r="C30" s="3" t="s">
        <v>101</v>
      </c>
      <c r="D30" s="3" t="s">
        <v>102</v>
      </c>
      <c r="E30" s="3" t="s">
        <v>108</v>
      </c>
      <c r="F30" s="3" t="s">
        <v>19</v>
      </c>
      <c r="G30" s="3">
        <v>4</v>
      </c>
      <c r="H30" s="3" t="s">
        <v>103</v>
      </c>
      <c r="I30" s="3">
        <v>500</v>
      </c>
      <c r="J30" s="3" t="s">
        <v>268</v>
      </c>
    </row>
    <row r="31" spans="1:10" x14ac:dyDescent="0.25">
      <c r="A31" s="2" t="s">
        <v>104</v>
      </c>
      <c r="B31" s="2" t="s">
        <v>105</v>
      </c>
      <c r="C31" s="4">
        <v>192168254190</v>
      </c>
      <c r="D31" s="2" t="s">
        <v>106</v>
      </c>
      <c r="E31" s="2" t="s">
        <v>109</v>
      </c>
      <c r="F31" s="2" t="s">
        <v>19</v>
      </c>
      <c r="G31" s="2">
        <v>4</v>
      </c>
      <c r="H31" s="2" t="s">
        <v>107</v>
      </c>
      <c r="I31" s="2" t="s">
        <v>87</v>
      </c>
      <c r="J31" s="2" t="s">
        <v>269</v>
      </c>
    </row>
    <row r="32" spans="1:10" x14ac:dyDescent="0.25">
      <c r="A32" s="3" t="s">
        <v>63</v>
      </c>
      <c r="B32" s="3" t="s">
        <v>47</v>
      </c>
      <c r="C32" s="5">
        <v>192168254221</v>
      </c>
      <c r="D32" s="3" t="s">
        <v>110</v>
      </c>
      <c r="E32" s="3" t="s">
        <v>18</v>
      </c>
      <c r="F32" s="3" t="s">
        <v>19</v>
      </c>
      <c r="G32" s="3">
        <v>4</v>
      </c>
      <c r="H32" s="3" t="s">
        <v>111</v>
      </c>
      <c r="I32" s="3" t="s">
        <v>87</v>
      </c>
      <c r="J32" s="3"/>
    </row>
    <row r="33" spans="1:10" x14ac:dyDescent="0.25">
      <c r="A33" s="2" t="s">
        <v>119</v>
      </c>
      <c r="B33" s="2" t="s">
        <v>41</v>
      </c>
      <c r="C33" s="2" t="s">
        <v>42</v>
      </c>
      <c r="D33" s="2" t="s">
        <v>243</v>
      </c>
      <c r="E33" s="2" t="s">
        <v>18</v>
      </c>
      <c r="F33" s="2" t="s">
        <v>19</v>
      </c>
      <c r="G33" s="2">
        <v>4</v>
      </c>
      <c r="H33" s="2" t="s">
        <v>120</v>
      </c>
      <c r="I33" s="2">
        <v>320</v>
      </c>
      <c r="J33" s="2"/>
    </row>
    <row r="34" spans="1:10" x14ac:dyDescent="0.25">
      <c r="A34" s="3" t="s">
        <v>136</v>
      </c>
      <c r="B34" s="3" t="s">
        <v>125</v>
      </c>
      <c r="C34" s="3" t="s">
        <v>126</v>
      </c>
      <c r="D34" s="3" t="s">
        <v>127</v>
      </c>
      <c r="E34" s="3" t="s">
        <v>18</v>
      </c>
      <c r="F34" s="3" t="s">
        <v>11</v>
      </c>
      <c r="G34" s="3">
        <v>4</v>
      </c>
      <c r="H34" s="3" t="s">
        <v>128</v>
      </c>
      <c r="I34" s="3" t="s">
        <v>87</v>
      </c>
      <c r="J34" s="3"/>
    </row>
    <row r="35" spans="1:10" x14ac:dyDescent="0.25">
      <c r="A35" s="2" t="s">
        <v>63</v>
      </c>
      <c r="B35" s="2" t="s">
        <v>140</v>
      </c>
      <c r="C35" s="4">
        <v>192168254113</v>
      </c>
      <c r="D35" s="2" t="s">
        <v>238</v>
      </c>
      <c r="E35" s="2" t="s">
        <v>18</v>
      </c>
      <c r="F35" s="2" t="s">
        <v>19</v>
      </c>
      <c r="G35" s="2">
        <v>2</v>
      </c>
      <c r="H35" s="2" t="s">
        <v>141</v>
      </c>
      <c r="I35" s="2" t="s">
        <v>87</v>
      </c>
      <c r="J35" s="2"/>
    </row>
    <row r="36" spans="1:10" x14ac:dyDescent="0.25">
      <c r="A36" s="3" t="s">
        <v>63</v>
      </c>
      <c r="B36" s="3" t="s">
        <v>35</v>
      </c>
      <c r="C36" s="3" t="s">
        <v>36</v>
      </c>
      <c r="D36" s="3" t="s">
        <v>142</v>
      </c>
      <c r="E36" s="3" t="s">
        <v>143</v>
      </c>
      <c r="F36" s="3" t="s">
        <v>19</v>
      </c>
      <c r="G36" s="3">
        <v>6</v>
      </c>
      <c r="H36" s="3" t="s">
        <v>144</v>
      </c>
      <c r="I36" s="3" t="s">
        <v>87</v>
      </c>
      <c r="J36" s="3"/>
    </row>
    <row r="37" spans="1:10" x14ac:dyDescent="0.25">
      <c r="A37" s="2" t="s">
        <v>145</v>
      </c>
      <c r="B37" s="2" t="s">
        <v>146</v>
      </c>
      <c r="C37" s="4">
        <v>192168254166</v>
      </c>
      <c r="D37" s="2" t="s">
        <v>147</v>
      </c>
      <c r="E37" s="2" t="s">
        <v>148</v>
      </c>
      <c r="F37" s="2" t="s">
        <v>26</v>
      </c>
      <c r="G37" s="2">
        <v>2</v>
      </c>
      <c r="H37" s="2" t="s">
        <v>149</v>
      </c>
      <c r="I37" s="2">
        <v>80</v>
      </c>
      <c r="J37" s="2"/>
    </row>
    <row r="38" spans="1:10" x14ac:dyDescent="0.25">
      <c r="A38" s="3" t="s">
        <v>22</v>
      </c>
      <c r="B38" s="3" t="s">
        <v>150</v>
      </c>
      <c r="C38" s="5">
        <v>192168254139</v>
      </c>
      <c r="D38" s="3" t="s">
        <v>147</v>
      </c>
      <c r="E38" s="3" t="s">
        <v>151</v>
      </c>
      <c r="F38" s="3" t="s">
        <v>26</v>
      </c>
      <c r="G38" s="3">
        <v>2</v>
      </c>
      <c r="H38" s="3" t="s">
        <v>152</v>
      </c>
      <c r="I38" s="3">
        <v>240</v>
      </c>
      <c r="J38" s="3"/>
    </row>
    <row r="39" spans="1:10" x14ac:dyDescent="0.25">
      <c r="A39" s="2" t="s">
        <v>63</v>
      </c>
      <c r="B39" s="2" t="s">
        <v>64</v>
      </c>
      <c r="C39" s="4">
        <v>192168254162</v>
      </c>
      <c r="D39" s="2" t="s">
        <v>244</v>
      </c>
      <c r="E39" s="2" t="s">
        <v>18</v>
      </c>
      <c r="F39" s="2" t="s">
        <v>19</v>
      </c>
      <c r="G39" s="2">
        <v>4</v>
      </c>
      <c r="H39" s="2" t="s">
        <v>65</v>
      </c>
      <c r="I39" s="2"/>
      <c r="J39" s="2"/>
    </row>
    <row r="40" spans="1:10" x14ac:dyDescent="0.25">
      <c r="A40" s="9" t="s">
        <v>207</v>
      </c>
      <c r="B40" s="9" t="s">
        <v>181</v>
      </c>
      <c r="C40" s="10">
        <v>192168254175</v>
      </c>
      <c r="D40" s="9" t="s">
        <v>171</v>
      </c>
      <c r="E40" s="9" t="s">
        <v>172</v>
      </c>
      <c r="F40" s="9" t="s">
        <v>11</v>
      </c>
      <c r="G40" s="9">
        <v>8</v>
      </c>
      <c r="H40" s="9" t="s">
        <v>208</v>
      </c>
      <c r="I40" s="9" t="s">
        <v>87</v>
      </c>
      <c r="J40" s="3"/>
    </row>
    <row r="41" spans="1:10" x14ac:dyDescent="0.25">
      <c r="A41" s="7" t="s">
        <v>63</v>
      </c>
      <c r="B41" s="7" t="s">
        <v>183</v>
      </c>
      <c r="C41" s="8">
        <v>192168254183</v>
      </c>
      <c r="D41" s="7" t="s">
        <v>237</v>
      </c>
      <c r="E41" s="7" t="s">
        <v>49</v>
      </c>
      <c r="F41" s="7" t="s">
        <v>19</v>
      </c>
      <c r="G41" s="7">
        <v>4</v>
      </c>
      <c r="H41" s="7" t="s">
        <v>223</v>
      </c>
      <c r="I41" s="7">
        <v>250</v>
      </c>
      <c r="J41" s="2"/>
    </row>
    <row r="43" spans="1:10" x14ac:dyDescent="0.25">
      <c r="A43" s="450" t="s">
        <v>1</v>
      </c>
      <c r="B43" s="450"/>
      <c r="C43" s="450"/>
      <c r="D43" s="450"/>
      <c r="E43" s="450"/>
      <c r="F43" s="450"/>
      <c r="G43" s="450"/>
      <c r="H43" s="450"/>
      <c r="I43" s="450"/>
      <c r="J43" s="450"/>
    </row>
    <row r="44" spans="1:10" x14ac:dyDescent="0.25">
      <c r="A44" s="3" t="s">
        <v>2</v>
      </c>
      <c r="B44" s="3" t="s">
        <v>3</v>
      </c>
      <c r="C44" s="3" t="s">
        <v>5</v>
      </c>
      <c r="D44" s="3" t="s">
        <v>4</v>
      </c>
      <c r="E44" s="3" t="s">
        <v>13</v>
      </c>
      <c r="F44" s="3" t="s">
        <v>6</v>
      </c>
      <c r="G44" s="3" t="s">
        <v>15</v>
      </c>
      <c r="H44" s="3" t="s">
        <v>7</v>
      </c>
      <c r="I44" s="3" t="s">
        <v>86</v>
      </c>
      <c r="J44" s="6" t="s">
        <v>195</v>
      </c>
    </row>
    <row r="45" spans="1:10" x14ac:dyDescent="0.25">
      <c r="A45" s="2" t="s">
        <v>59</v>
      </c>
      <c r="B45" s="2" t="s">
        <v>39</v>
      </c>
      <c r="C45" s="2" t="s">
        <v>40</v>
      </c>
      <c r="D45" s="2" t="s">
        <v>186</v>
      </c>
      <c r="E45" s="2" t="s">
        <v>185</v>
      </c>
      <c r="F45" s="2" t="s">
        <v>19</v>
      </c>
      <c r="G45" s="2">
        <v>4</v>
      </c>
      <c r="H45" s="2" t="s">
        <v>193</v>
      </c>
      <c r="I45" s="2" t="s">
        <v>87</v>
      </c>
      <c r="J45" s="2"/>
    </row>
    <row r="46" spans="1:10" x14ac:dyDescent="0.25">
      <c r="A46" s="3" t="s">
        <v>88</v>
      </c>
      <c r="B46" s="3" t="s">
        <v>89</v>
      </c>
      <c r="C46" s="5">
        <v>192168254107</v>
      </c>
      <c r="D46" s="3" t="s">
        <v>90</v>
      </c>
      <c r="E46" s="3" t="s">
        <v>176</v>
      </c>
      <c r="F46" s="3" t="s">
        <v>11</v>
      </c>
      <c r="G46" s="3">
        <v>4</v>
      </c>
      <c r="H46" s="3"/>
      <c r="I46" s="3"/>
      <c r="J46" s="3"/>
    </row>
    <row r="47" spans="1:10" x14ac:dyDescent="0.25">
      <c r="A47" s="2" t="s">
        <v>207</v>
      </c>
      <c r="B47" s="2" t="s">
        <v>92</v>
      </c>
      <c r="C47" s="4">
        <v>192168254177</v>
      </c>
      <c r="D47" s="2" t="s">
        <v>139</v>
      </c>
      <c r="E47" s="2" t="s">
        <v>93</v>
      </c>
      <c r="F47" s="2" t="s">
        <v>11</v>
      </c>
      <c r="G47" s="2">
        <v>8</v>
      </c>
      <c r="H47" s="2" t="s">
        <v>213</v>
      </c>
      <c r="I47" s="2" t="s">
        <v>87</v>
      </c>
      <c r="J47" s="2"/>
    </row>
    <row r="48" spans="1:10" x14ac:dyDescent="0.25">
      <c r="A48" s="3" t="s">
        <v>207</v>
      </c>
      <c r="B48" s="3" t="s">
        <v>121</v>
      </c>
      <c r="C48" s="5">
        <v>192168254178</v>
      </c>
      <c r="D48" s="3" t="s">
        <v>122</v>
      </c>
      <c r="E48" s="3" t="s">
        <v>123</v>
      </c>
      <c r="F48" s="3" t="s">
        <v>11</v>
      </c>
      <c r="G48" s="3">
        <v>8</v>
      </c>
      <c r="H48" s="3" t="s">
        <v>215</v>
      </c>
      <c r="I48" s="3" t="s">
        <v>87</v>
      </c>
      <c r="J48" s="3"/>
    </row>
    <row r="49" spans="1:10" x14ac:dyDescent="0.25">
      <c r="A49" s="2" t="s">
        <v>207</v>
      </c>
      <c r="B49" s="2" t="s">
        <v>129</v>
      </c>
      <c r="C49" s="4">
        <v>192168254179</v>
      </c>
      <c r="D49" s="2" t="s">
        <v>130</v>
      </c>
      <c r="E49" s="2" t="s">
        <v>123</v>
      </c>
      <c r="F49" s="2" t="s">
        <v>11</v>
      </c>
      <c r="G49" s="2">
        <v>8</v>
      </c>
      <c r="H49" s="2" t="s">
        <v>216</v>
      </c>
      <c r="I49" s="2" t="s">
        <v>87</v>
      </c>
      <c r="J49" s="2"/>
    </row>
    <row r="50" spans="1:10" x14ac:dyDescent="0.25">
      <c r="A50" s="3" t="s">
        <v>75</v>
      </c>
      <c r="B50" s="3" t="s">
        <v>154</v>
      </c>
      <c r="C50" s="3" t="s">
        <v>194</v>
      </c>
      <c r="D50" s="3" t="s">
        <v>155</v>
      </c>
      <c r="E50" s="3" t="s">
        <v>156</v>
      </c>
      <c r="F50" s="3" t="s">
        <v>19</v>
      </c>
      <c r="G50" s="3">
        <v>4</v>
      </c>
      <c r="H50" s="3" t="s">
        <v>157</v>
      </c>
      <c r="I50" s="3">
        <v>500</v>
      </c>
      <c r="J50" s="3"/>
    </row>
    <row r="51" spans="1:10" x14ac:dyDescent="0.25">
      <c r="A51" s="2" t="s">
        <v>207</v>
      </c>
      <c r="B51" s="2" t="s">
        <v>158</v>
      </c>
      <c r="C51" s="4">
        <v>192168254176</v>
      </c>
      <c r="D51" s="2" t="s">
        <v>159</v>
      </c>
      <c r="E51" s="2" t="s">
        <v>93</v>
      </c>
      <c r="F51" s="2" t="s">
        <v>11</v>
      </c>
      <c r="G51" s="2">
        <v>8</v>
      </c>
      <c r="H51" s="2" t="s">
        <v>209</v>
      </c>
      <c r="I51" s="2" t="s">
        <v>87</v>
      </c>
      <c r="J51" s="2"/>
    </row>
    <row r="52" spans="1:10" x14ac:dyDescent="0.25">
      <c r="A52" s="3" t="s">
        <v>119</v>
      </c>
      <c r="B52" s="3" t="s">
        <v>161</v>
      </c>
      <c r="C52" s="3" t="s">
        <v>162</v>
      </c>
      <c r="D52" s="3" t="s">
        <v>163</v>
      </c>
      <c r="E52" s="3" t="s">
        <v>164</v>
      </c>
      <c r="F52" s="3" t="s">
        <v>19</v>
      </c>
      <c r="G52" s="3">
        <v>4</v>
      </c>
      <c r="H52" s="3" t="s">
        <v>165</v>
      </c>
      <c r="I52" s="3">
        <v>300</v>
      </c>
      <c r="J52" s="3"/>
    </row>
    <row r="53" spans="1:10" x14ac:dyDescent="0.25">
      <c r="A53" s="2" t="s">
        <v>59</v>
      </c>
      <c r="B53" s="2" t="s">
        <v>166</v>
      </c>
      <c r="C53" s="4">
        <v>192168254125</v>
      </c>
      <c r="D53" s="2" t="s">
        <v>214</v>
      </c>
      <c r="E53" s="2" t="s">
        <v>164</v>
      </c>
      <c r="F53" s="2" t="s">
        <v>19</v>
      </c>
      <c r="G53" s="2">
        <v>4</v>
      </c>
      <c r="H53" s="2" t="s">
        <v>167</v>
      </c>
      <c r="I53" s="2">
        <v>250</v>
      </c>
      <c r="J53" s="2"/>
    </row>
    <row r="54" spans="1:10" x14ac:dyDescent="0.25">
      <c r="A54" s="3" t="s">
        <v>168</v>
      </c>
      <c r="B54" s="3" t="s">
        <v>169</v>
      </c>
      <c r="C54" s="3" t="s">
        <v>170</v>
      </c>
      <c r="D54" s="3" t="s">
        <v>171</v>
      </c>
      <c r="E54" s="3" t="s">
        <v>172</v>
      </c>
      <c r="F54" s="3" t="s">
        <v>19</v>
      </c>
      <c r="G54" s="3">
        <v>4</v>
      </c>
      <c r="H54" s="3" t="s">
        <v>173</v>
      </c>
      <c r="I54" s="3">
        <v>300</v>
      </c>
      <c r="J54" s="3"/>
    </row>
    <row r="55" spans="1:10" x14ac:dyDescent="0.25">
      <c r="A55" s="2" t="s">
        <v>104</v>
      </c>
      <c r="B55" s="2" t="s">
        <v>174</v>
      </c>
      <c r="C55" s="4">
        <v>192168254114</v>
      </c>
      <c r="D55" s="2" t="s">
        <v>175</v>
      </c>
      <c r="E55" s="2" t="s">
        <v>176</v>
      </c>
      <c r="F55" s="2" t="s">
        <v>19</v>
      </c>
      <c r="G55" s="2">
        <v>4</v>
      </c>
      <c r="H55" s="2" t="s">
        <v>177</v>
      </c>
      <c r="I55" s="2" t="s">
        <v>87</v>
      </c>
      <c r="J55" s="2"/>
    </row>
    <row r="56" spans="1:10" x14ac:dyDescent="0.25">
      <c r="A56" s="3" t="s">
        <v>59</v>
      </c>
      <c r="B56" s="3" t="s">
        <v>178</v>
      </c>
      <c r="C56" s="5">
        <v>192168254140</v>
      </c>
      <c r="D56" s="3" t="s">
        <v>179</v>
      </c>
      <c r="E56" s="3" t="s">
        <v>172</v>
      </c>
      <c r="F56" s="3" t="s">
        <v>19</v>
      </c>
      <c r="G56" s="3">
        <v>4</v>
      </c>
      <c r="H56" s="3" t="s">
        <v>180</v>
      </c>
      <c r="I56" s="3">
        <v>240</v>
      </c>
      <c r="J56" s="3"/>
    </row>
    <row r="57" spans="1:10" x14ac:dyDescent="0.25">
      <c r="A57" s="2" t="s">
        <v>190</v>
      </c>
      <c r="B57" s="2" t="s">
        <v>188</v>
      </c>
      <c r="C57" s="4">
        <v>192168254105</v>
      </c>
      <c r="D57" s="2" t="s">
        <v>189</v>
      </c>
      <c r="E57" s="2" t="s">
        <v>176</v>
      </c>
      <c r="F57" s="2" t="s">
        <v>11</v>
      </c>
      <c r="G57" s="2">
        <v>4</v>
      </c>
      <c r="H57" s="2" t="s">
        <v>191</v>
      </c>
      <c r="I57" s="2">
        <v>500</v>
      </c>
      <c r="J57" s="2"/>
    </row>
    <row r="58" spans="1:10" x14ac:dyDescent="0.25">
      <c r="A58" s="3" t="s">
        <v>75</v>
      </c>
      <c r="B58" s="3" t="s">
        <v>112</v>
      </c>
      <c r="C58" s="5">
        <v>192168254185</v>
      </c>
      <c r="D58" s="3" t="s">
        <v>113</v>
      </c>
      <c r="E58" s="3" t="s">
        <v>18</v>
      </c>
      <c r="F58" s="3" t="s">
        <v>19</v>
      </c>
      <c r="G58" s="3">
        <v>4</v>
      </c>
      <c r="H58" s="3" t="s">
        <v>131</v>
      </c>
      <c r="I58" s="3">
        <v>500</v>
      </c>
      <c r="J58" s="3" t="s">
        <v>259</v>
      </c>
    </row>
    <row r="59" spans="1:10" x14ac:dyDescent="0.25">
      <c r="A59" s="2" t="s">
        <v>59</v>
      </c>
      <c r="B59" s="2" t="s">
        <v>116</v>
      </c>
      <c r="C59" s="2" t="s">
        <v>117</v>
      </c>
      <c r="D59" s="2" t="s">
        <v>138</v>
      </c>
      <c r="E59" s="2" t="s">
        <v>114</v>
      </c>
      <c r="F59" s="2" t="s">
        <v>19</v>
      </c>
      <c r="G59" s="2">
        <v>4</v>
      </c>
      <c r="H59" s="2" t="s">
        <v>118</v>
      </c>
      <c r="I59" s="2" t="s">
        <v>87</v>
      </c>
      <c r="J59" s="2" t="s">
        <v>270</v>
      </c>
    </row>
    <row r="60" spans="1:10" x14ac:dyDescent="0.25">
      <c r="A60" s="3" t="s">
        <v>22</v>
      </c>
      <c r="B60" s="3" t="s">
        <v>246</v>
      </c>
      <c r="C60" s="5" t="s">
        <v>247</v>
      </c>
      <c r="D60" s="3" t="s">
        <v>248</v>
      </c>
      <c r="E60" s="3" t="s">
        <v>176</v>
      </c>
      <c r="F60" s="3" t="s">
        <v>26</v>
      </c>
      <c r="G60" s="3">
        <v>2</v>
      </c>
      <c r="H60" s="3" t="s">
        <v>184</v>
      </c>
      <c r="I60" s="3">
        <v>500</v>
      </c>
      <c r="J60" s="3"/>
    </row>
  </sheetData>
  <mergeCells count="3">
    <mergeCell ref="A1:J1"/>
    <mergeCell ref="A19:J19"/>
    <mergeCell ref="A43:J4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251"/>
  <sheetViews>
    <sheetView zoomScale="80" zoomScaleNormal="80" workbookViewId="0">
      <pane ySplit="2" topLeftCell="A144" activePane="bottomLeft" state="frozen"/>
      <selection pane="bottomLeft" activeCell="E107" sqref="E107"/>
    </sheetView>
  </sheetViews>
  <sheetFormatPr defaultRowHeight="15" x14ac:dyDescent="0.25"/>
  <cols>
    <col min="1" max="1" width="29.140625" bestFit="1" customWidth="1"/>
    <col min="2" max="2" width="19.7109375" style="1" bestFit="1" customWidth="1"/>
    <col min="3" max="3" width="12.5703125" style="35" customWidth="1"/>
    <col min="4" max="4" width="21" bestFit="1" customWidth="1"/>
    <col min="5" max="5" width="18.7109375" customWidth="1"/>
  </cols>
  <sheetData>
    <row r="1" spans="1:5" x14ac:dyDescent="0.25">
      <c r="A1" s="451" t="s">
        <v>371</v>
      </c>
      <c r="B1" s="451"/>
      <c r="C1" s="451"/>
      <c r="D1" s="451"/>
      <c r="E1" s="451"/>
    </row>
    <row r="2" spans="1:5" x14ac:dyDescent="0.25">
      <c r="A2" s="16" t="s">
        <v>198</v>
      </c>
      <c r="B2" s="17" t="s">
        <v>3</v>
      </c>
      <c r="C2" s="18" t="s">
        <v>5</v>
      </c>
      <c r="D2" s="16" t="s">
        <v>4</v>
      </c>
      <c r="E2" s="16" t="s">
        <v>217</v>
      </c>
    </row>
    <row r="3" spans="1:5" ht="18.75" x14ac:dyDescent="0.3">
      <c r="A3" s="41" t="s">
        <v>218</v>
      </c>
      <c r="B3" s="41" t="s">
        <v>218</v>
      </c>
      <c r="C3" s="319">
        <v>1</v>
      </c>
      <c r="D3" s="41" t="s">
        <v>218</v>
      </c>
      <c r="E3" s="25" t="s">
        <v>218</v>
      </c>
    </row>
    <row r="4" spans="1:5" ht="18.75" x14ac:dyDescent="0.3">
      <c r="A4" s="41" t="s">
        <v>218</v>
      </c>
      <c r="B4" s="41" t="s">
        <v>218</v>
      </c>
      <c r="C4" s="319">
        <v>2</v>
      </c>
      <c r="D4" s="41" t="s">
        <v>218</v>
      </c>
      <c r="E4" s="25" t="s">
        <v>218</v>
      </c>
    </row>
    <row r="5" spans="1:5" ht="18.75" x14ac:dyDescent="0.3">
      <c r="A5" s="317" t="s">
        <v>546</v>
      </c>
      <c r="B5" s="44" t="s">
        <v>547</v>
      </c>
      <c r="C5" s="320">
        <v>3</v>
      </c>
      <c r="D5" s="44" t="s">
        <v>14</v>
      </c>
      <c r="E5" s="22" t="s">
        <v>338</v>
      </c>
    </row>
    <row r="6" spans="1:5" ht="18.75" x14ac:dyDescent="0.3">
      <c r="A6" s="317" t="s">
        <v>546</v>
      </c>
      <c r="B6" s="44" t="s">
        <v>547</v>
      </c>
      <c r="C6" s="320">
        <v>4</v>
      </c>
      <c r="D6" s="44" t="s">
        <v>14</v>
      </c>
      <c r="E6" s="22" t="s">
        <v>338</v>
      </c>
    </row>
    <row r="7" spans="1:5" ht="18.75" x14ac:dyDescent="0.3">
      <c r="A7" s="317" t="s">
        <v>546</v>
      </c>
      <c r="B7" s="44" t="s">
        <v>547</v>
      </c>
      <c r="C7" s="320">
        <v>5</v>
      </c>
      <c r="D7" s="44" t="s">
        <v>14</v>
      </c>
      <c r="E7" s="22" t="s">
        <v>338</v>
      </c>
    </row>
    <row r="8" spans="1:5" ht="18.75" x14ac:dyDescent="0.3">
      <c r="A8" s="41" t="s">
        <v>218</v>
      </c>
      <c r="B8" s="41" t="s">
        <v>218</v>
      </c>
      <c r="C8" s="319">
        <v>6</v>
      </c>
      <c r="D8" s="41" t="s">
        <v>218</v>
      </c>
      <c r="E8" s="25" t="s">
        <v>218</v>
      </c>
    </row>
    <row r="9" spans="1:5" ht="18.75" x14ac:dyDescent="0.3">
      <c r="A9" s="41" t="s">
        <v>218</v>
      </c>
      <c r="B9" s="41" t="s">
        <v>218</v>
      </c>
      <c r="C9" s="319">
        <v>7</v>
      </c>
      <c r="D9" s="41" t="s">
        <v>218</v>
      </c>
      <c r="E9" s="25" t="s">
        <v>218</v>
      </c>
    </row>
    <row r="10" spans="1:5" ht="18.75" x14ac:dyDescent="0.3">
      <c r="A10" s="30" t="s">
        <v>218</v>
      </c>
      <c r="B10" s="30" t="s">
        <v>218</v>
      </c>
      <c r="C10" s="321">
        <v>8</v>
      </c>
      <c r="D10" s="30" t="s">
        <v>218</v>
      </c>
      <c r="E10" s="1" t="s">
        <v>218</v>
      </c>
    </row>
    <row r="11" spans="1:5" ht="18.75" x14ac:dyDescent="0.3">
      <c r="A11" s="30" t="s">
        <v>218</v>
      </c>
      <c r="B11" s="30" t="s">
        <v>218</v>
      </c>
      <c r="C11" s="321">
        <v>9</v>
      </c>
      <c r="D11" s="30" t="s">
        <v>218</v>
      </c>
      <c r="E11" s="1" t="s">
        <v>218</v>
      </c>
    </row>
    <row r="12" spans="1:5" ht="18.75" x14ac:dyDescent="0.3">
      <c r="A12" s="30" t="s">
        <v>218</v>
      </c>
      <c r="B12" s="30" t="s">
        <v>218</v>
      </c>
      <c r="C12" s="321">
        <v>10</v>
      </c>
      <c r="D12" s="30" t="s">
        <v>218</v>
      </c>
      <c r="E12" s="1" t="s">
        <v>218</v>
      </c>
    </row>
    <row r="13" spans="1:5" ht="18.75" x14ac:dyDescent="0.3">
      <c r="A13" s="41" t="s">
        <v>218</v>
      </c>
      <c r="B13" s="41" t="s">
        <v>218</v>
      </c>
      <c r="C13" s="319">
        <v>11</v>
      </c>
      <c r="D13" s="41" t="s">
        <v>218</v>
      </c>
      <c r="E13" s="25" t="s">
        <v>218</v>
      </c>
    </row>
    <row r="14" spans="1:5" ht="18.75" x14ac:dyDescent="0.3">
      <c r="A14" s="44" t="s">
        <v>1219</v>
      </c>
      <c r="B14" s="44" t="s">
        <v>1297</v>
      </c>
      <c r="C14" s="320">
        <v>12</v>
      </c>
      <c r="D14" s="44" t="s">
        <v>345</v>
      </c>
      <c r="E14" s="22" t="s">
        <v>338</v>
      </c>
    </row>
    <row r="15" spans="1:5" ht="18.75" x14ac:dyDescent="0.3">
      <c r="A15" s="44" t="s">
        <v>1219</v>
      </c>
      <c r="B15" s="44" t="s">
        <v>1305</v>
      </c>
      <c r="C15" s="320">
        <v>13</v>
      </c>
      <c r="D15" s="44" t="s">
        <v>324</v>
      </c>
      <c r="E15" s="22" t="s">
        <v>338</v>
      </c>
    </row>
    <row r="16" spans="1:5" ht="18.75" x14ac:dyDescent="0.3">
      <c r="A16" s="44" t="s">
        <v>1219</v>
      </c>
      <c r="B16" s="44" t="s">
        <v>1306</v>
      </c>
      <c r="C16" s="320">
        <v>14</v>
      </c>
      <c r="D16" s="44" t="s">
        <v>200</v>
      </c>
      <c r="E16" s="22" t="s">
        <v>338</v>
      </c>
    </row>
    <row r="17" spans="1:5" ht="18.75" x14ac:dyDescent="0.3">
      <c r="A17" s="44" t="s">
        <v>1219</v>
      </c>
      <c r="B17" s="44" t="s">
        <v>313</v>
      </c>
      <c r="C17" s="320">
        <v>15</v>
      </c>
      <c r="D17" s="317" t="s">
        <v>554</v>
      </c>
      <c r="E17" s="22" t="s">
        <v>338</v>
      </c>
    </row>
    <row r="18" spans="1:5" ht="18.75" x14ac:dyDescent="0.3">
      <c r="A18" s="44" t="s">
        <v>1219</v>
      </c>
      <c r="B18" s="44" t="s">
        <v>1310</v>
      </c>
      <c r="C18" s="320">
        <v>16</v>
      </c>
      <c r="D18" s="44" t="s">
        <v>510</v>
      </c>
      <c r="E18" s="22" t="s">
        <v>338</v>
      </c>
    </row>
    <row r="19" spans="1:5" ht="18.75" x14ac:dyDescent="0.3">
      <c r="A19" s="44" t="s">
        <v>1219</v>
      </c>
      <c r="B19" s="44" t="s">
        <v>1311</v>
      </c>
      <c r="C19" s="320">
        <v>17</v>
      </c>
      <c r="D19" s="44" t="s">
        <v>999</v>
      </c>
      <c r="E19" s="22" t="s">
        <v>338</v>
      </c>
    </row>
    <row r="20" spans="1:5" ht="18.75" x14ac:dyDescent="0.3">
      <c r="A20" s="44" t="s">
        <v>1219</v>
      </c>
      <c r="B20" s="44" t="s">
        <v>1312</v>
      </c>
      <c r="C20" s="320">
        <v>18</v>
      </c>
      <c r="D20" s="44" t="s">
        <v>137</v>
      </c>
      <c r="E20" s="22" t="s">
        <v>338</v>
      </c>
    </row>
    <row r="21" spans="1:5" ht="18.75" x14ac:dyDescent="0.3">
      <c r="A21" s="44" t="s">
        <v>1219</v>
      </c>
      <c r="B21" s="44" t="s">
        <v>1313</v>
      </c>
      <c r="C21" s="320">
        <v>19</v>
      </c>
      <c r="D21" s="44" t="s">
        <v>1137</v>
      </c>
      <c r="E21" s="22" t="s">
        <v>338</v>
      </c>
    </row>
    <row r="22" spans="1:5" ht="18.75" x14ac:dyDescent="0.3">
      <c r="A22" s="44" t="s">
        <v>1219</v>
      </c>
      <c r="B22" s="44" t="s">
        <v>1314</v>
      </c>
      <c r="C22" s="320">
        <v>20</v>
      </c>
      <c r="D22" s="44" t="s">
        <v>244</v>
      </c>
      <c r="E22" s="22" t="s">
        <v>338</v>
      </c>
    </row>
    <row r="23" spans="1:5" ht="18.75" x14ac:dyDescent="0.3">
      <c r="A23" s="44" t="s">
        <v>1219</v>
      </c>
      <c r="B23" s="44" t="s">
        <v>1338</v>
      </c>
      <c r="C23" s="320">
        <v>21</v>
      </c>
      <c r="D23" s="44" t="s">
        <v>1028</v>
      </c>
      <c r="E23" s="44" t="s">
        <v>338</v>
      </c>
    </row>
    <row r="24" spans="1:5" ht="18.75" x14ac:dyDescent="0.3">
      <c r="A24" s="44" t="s">
        <v>1219</v>
      </c>
      <c r="B24" s="44" t="s">
        <v>121</v>
      </c>
      <c r="C24" s="320">
        <v>22</v>
      </c>
      <c r="D24" s="44" t="s">
        <v>202</v>
      </c>
      <c r="E24" s="44" t="s">
        <v>338</v>
      </c>
    </row>
    <row r="25" spans="1:5" ht="18.75" x14ac:dyDescent="0.3">
      <c r="A25" s="44" t="s">
        <v>1219</v>
      </c>
      <c r="B25" s="44" t="s">
        <v>1489</v>
      </c>
      <c r="C25" s="320">
        <v>23</v>
      </c>
      <c r="D25" s="44" t="s">
        <v>1440</v>
      </c>
      <c r="E25" s="44" t="s">
        <v>338</v>
      </c>
    </row>
    <row r="26" spans="1:5" ht="18.75" x14ac:dyDescent="0.3">
      <c r="A26" s="44" t="s">
        <v>1219</v>
      </c>
      <c r="B26" s="44" t="s">
        <v>1532</v>
      </c>
      <c r="C26" s="320">
        <v>24</v>
      </c>
      <c r="D26" s="44" t="s">
        <v>171</v>
      </c>
      <c r="E26" s="44" t="s">
        <v>338</v>
      </c>
    </row>
    <row r="27" spans="1:5" ht="18.75" x14ac:dyDescent="0.3">
      <c r="A27" s="30" t="s">
        <v>218</v>
      </c>
      <c r="B27" s="30" t="s">
        <v>218</v>
      </c>
      <c r="C27" s="321">
        <v>25</v>
      </c>
      <c r="D27" s="30" t="s">
        <v>218</v>
      </c>
      <c r="E27" s="1" t="s">
        <v>218</v>
      </c>
    </row>
    <row r="28" spans="1:5" ht="18.75" x14ac:dyDescent="0.3">
      <c r="A28" s="30" t="s">
        <v>218</v>
      </c>
      <c r="B28" s="30" t="s">
        <v>218</v>
      </c>
      <c r="C28" s="321">
        <v>26</v>
      </c>
      <c r="D28" s="30" t="s">
        <v>218</v>
      </c>
      <c r="E28" s="1" t="s">
        <v>218</v>
      </c>
    </row>
    <row r="29" spans="1:5" ht="18.75" x14ac:dyDescent="0.3">
      <c r="A29" s="30" t="s">
        <v>218</v>
      </c>
      <c r="B29" s="30" t="s">
        <v>218</v>
      </c>
      <c r="C29" s="321">
        <v>27</v>
      </c>
      <c r="D29" s="30" t="s">
        <v>218</v>
      </c>
      <c r="E29" s="1" t="s">
        <v>218</v>
      </c>
    </row>
    <row r="30" spans="1:5" ht="18.75" x14ac:dyDescent="0.3">
      <c r="A30" s="30" t="s">
        <v>218</v>
      </c>
      <c r="B30" s="30" t="s">
        <v>218</v>
      </c>
      <c r="C30" s="321">
        <v>28</v>
      </c>
      <c r="D30" s="30" t="s">
        <v>218</v>
      </c>
      <c r="E30" s="1" t="s">
        <v>218</v>
      </c>
    </row>
    <row r="31" spans="1:5" ht="18.75" x14ac:dyDescent="0.3">
      <c r="A31" s="30" t="s">
        <v>218</v>
      </c>
      <c r="B31" s="30" t="s">
        <v>218</v>
      </c>
      <c r="C31" s="321">
        <v>29</v>
      </c>
      <c r="D31" s="30" t="s">
        <v>218</v>
      </c>
      <c r="E31" s="1" t="s">
        <v>218</v>
      </c>
    </row>
    <row r="32" spans="1:5" ht="18.75" x14ac:dyDescent="0.3">
      <c r="A32" s="30" t="s">
        <v>218</v>
      </c>
      <c r="B32" s="30" t="s">
        <v>218</v>
      </c>
      <c r="C32" s="321">
        <v>30</v>
      </c>
      <c r="D32" s="30" t="s">
        <v>218</v>
      </c>
      <c r="E32" s="1" t="s">
        <v>218</v>
      </c>
    </row>
    <row r="33" spans="1:5" ht="18.75" x14ac:dyDescent="0.3">
      <c r="A33" s="30" t="s">
        <v>218</v>
      </c>
      <c r="B33" s="30" t="s">
        <v>218</v>
      </c>
      <c r="C33" s="321">
        <v>31</v>
      </c>
      <c r="D33" s="30" t="s">
        <v>218</v>
      </c>
      <c r="E33" s="1" t="s">
        <v>218</v>
      </c>
    </row>
    <row r="34" spans="1:5" ht="18.75" x14ac:dyDescent="0.3">
      <c r="A34" s="30" t="s">
        <v>218</v>
      </c>
      <c r="B34" s="30" t="s">
        <v>218</v>
      </c>
      <c r="C34" s="321">
        <v>32</v>
      </c>
      <c r="D34" s="30" t="s">
        <v>218</v>
      </c>
      <c r="E34" s="30" t="s">
        <v>218</v>
      </c>
    </row>
    <row r="35" spans="1:5" ht="18.75" x14ac:dyDescent="0.3">
      <c r="A35" s="30" t="s">
        <v>218</v>
      </c>
      <c r="B35" s="30" t="s">
        <v>218</v>
      </c>
      <c r="C35" s="321">
        <v>33</v>
      </c>
      <c r="D35" s="30" t="s">
        <v>218</v>
      </c>
      <c r="E35" s="30" t="s">
        <v>218</v>
      </c>
    </row>
    <row r="36" spans="1:5" ht="18.75" x14ac:dyDescent="0.3">
      <c r="A36" s="30" t="s">
        <v>218</v>
      </c>
      <c r="B36" s="30" t="s">
        <v>218</v>
      </c>
      <c r="C36" s="321">
        <v>34</v>
      </c>
      <c r="D36" s="30" t="s">
        <v>218</v>
      </c>
      <c r="E36" s="30" t="s">
        <v>218</v>
      </c>
    </row>
    <row r="37" spans="1:5" ht="18.75" x14ac:dyDescent="0.3">
      <c r="A37" s="30" t="s">
        <v>218</v>
      </c>
      <c r="B37" s="30" t="s">
        <v>218</v>
      </c>
      <c r="C37" s="321">
        <v>35</v>
      </c>
      <c r="D37" s="30" t="s">
        <v>218</v>
      </c>
      <c r="E37" s="1" t="s">
        <v>218</v>
      </c>
    </row>
    <row r="38" spans="1:5" ht="18.75" x14ac:dyDescent="0.3">
      <c r="A38" s="30" t="s">
        <v>218</v>
      </c>
      <c r="B38" s="30" t="s">
        <v>218</v>
      </c>
      <c r="C38" s="321">
        <v>36</v>
      </c>
      <c r="D38" s="30" t="s">
        <v>218</v>
      </c>
      <c r="E38" s="1" t="s">
        <v>218</v>
      </c>
    </row>
    <row r="39" spans="1:5" ht="18.75" x14ac:dyDescent="0.3">
      <c r="A39" s="30" t="s">
        <v>218</v>
      </c>
      <c r="B39" s="30" t="s">
        <v>218</v>
      </c>
      <c r="C39" s="321">
        <v>37</v>
      </c>
      <c r="D39" s="30" t="s">
        <v>218</v>
      </c>
      <c r="E39" s="1" t="s">
        <v>218</v>
      </c>
    </row>
    <row r="40" spans="1:5" ht="18.75" x14ac:dyDescent="0.3">
      <c r="A40" s="30" t="s">
        <v>218</v>
      </c>
      <c r="B40" s="30" t="s">
        <v>218</v>
      </c>
      <c r="C40" s="321">
        <v>38</v>
      </c>
      <c r="D40" s="30" t="s">
        <v>218</v>
      </c>
      <c r="E40" s="1" t="s">
        <v>218</v>
      </c>
    </row>
    <row r="41" spans="1:5" ht="18.75" x14ac:dyDescent="0.3">
      <c r="A41" s="30" t="s">
        <v>218</v>
      </c>
      <c r="B41" s="30" t="s">
        <v>218</v>
      </c>
      <c r="C41" s="321">
        <v>39</v>
      </c>
      <c r="D41" s="30" t="s">
        <v>218</v>
      </c>
      <c r="E41" s="1" t="s">
        <v>218</v>
      </c>
    </row>
    <row r="42" spans="1:5" ht="18.75" x14ac:dyDescent="0.3">
      <c r="A42" s="30" t="s">
        <v>218</v>
      </c>
      <c r="B42" s="30" t="s">
        <v>218</v>
      </c>
      <c r="C42" s="321">
        <v>40</v>
      </c>
      <c r="D42" s="30" t="s">
        <v>218</v>
      </c>
      <c r="E42" s="1" t="s">
        <v>218</v>
      </c>
    </row>
    <row r="43" spans="1:5" ht="18.75" x14ac:dyDescent="0.3">
      <c r="A43" s="30" t="s">
        <v>218</v>
      </c>
      <c r="B43" s="30" t="s">
        <v>218</v>
      </c>
      <c r="C43" s="321">
        <v>41</v>
      </c>
      <c r="D43" s="30" t="s">
        <v>218</v>
      </c>
      <c r="E43" s="1" t="s">
        <v>218</v>
      </c>
    </row>
    <row r="44" spans="1:5" ht="18.75" x14ac:dyDescent="0.3">
      <c r="A44" s="30" t="s">
        <v>218</v>
      </c>
      <c r="B44" s="30" t="s">
        <v>218</v>
      </c>
      <c r="C44" s="321">
        <v>42</v>
      </c>
      <c r="D44" s="30" t="s">
        <v>218</v>
      </c>
      <c r="E44" s="1" t="s">
        <v>218</v>
      </c>
    </row>
    <row r="45" spans="1:5" ht="18.75" x14ac:dyDescent="0.3">
      <c r="A45" s="30" t="s">
        <v>218</v>
      </c>
      <c r="B45" s="30" t="s">
        <v>218</v>
      </c>
      <c r="C45" s="321">
        <v>43</v>
      </c>
      <c r="D45" s="30" t="s">
        <v>218</v>
      </c>
      <c r="E45" s="1" t="s">
        <v>218</v>
      </c>
    </row>
    <row r="46" spans="1:5" ht="18.75" x14ac:dyDescent="0.3">
      <c r="A46" s="30" t="s">
        <v>218</v>
      </c>
      <c r="B46" s="30" t="s">
        <v>218</v>
      </c>
      <c r="C46" s="321">
        <v>44</v>
      </c>
      <c r="D46" s="30" t="s">
        <v>218</v>
      </c>
      <c r="E46" s="1" t="s">
        <v>218</v>
      </c>
    </row>
    <row r="47" spans="1:5" ht="18.75" x14ac:dyDescent="0.3">
      <c r="A47" s="30" t="s">
        <v>218</v>
      </c>
      <c r="B47" s="30" t="s">
        <v>218</v>
      </c>
      <c r="C47" s="321">
        <v>45</v>
      </c>
      <c r="D47" s="30" t="s">
        <v>218</v>
      </c>
      <c r="E47" s="1" t="s">
        <v>218</v>
      </c>
    </row>
    <row r="48" spans="1:5" ht="18.75" x14ac:dyDescent="0.3">
      <c r="A48" s="30" t="s">
        <v>218</v>
      </c>
      <c r="B48" s="30" t="s">
        <v>218</v>
      </c>
      <c r="C48" s="321">
        <v>46</v>
      </c>
      <c r="D48" s="30" t="s">
        <v>218</v>
      </c>
      <c r="E48" s="1" t="s">
        <v>218</v>
      </c>
    </row>
    <row r="49" spans="1:5" ht="18.75" x14ac:dyDescent="0.3">
      <c r="A49" s="30" t="s">
        <v>218</v>
      </c>
      <c r="B49" s="30" t="s">
        <v>218</v>
      </c>
      <c r="C49" s="321">
        <v>47</v>
      </c>
      <c r="D49" s="30" t="s">
        <v>218</v>
      </c>
      <c r="E49" s="1" t="s">
        <v>218</v>
      </c>
    </row>
    <row r="50" spans="1:5" ht="18.75" x14ac:dyDescent="0.3">
      <c r="A50" s="41" t="s">
        <v>218</v>
      </c>
      <c r="B50" s="41" t="s">
        <v>218</v>
      </c>
      <c r="C50" s="319">
        <v>48</v>
      </c>
      <c r="D50" s="41" t="s">
        <v>218</v>
      </c>
      <c r="E50" s="41" t="s">
        <v>218</v>
      </c>
    </row>
    <row r="51" spans="1:5" ht="18.75" x14ac:dyDescent="0.3">
      <c r="A51" s="41" t="s">
        <v>218</v>
      </c>
      <c r="B51" s="41" t="s">
        <v>218</v>
      </c>
      <c r="C51" s="319">
        <v>49</v>
      </c>
      <c r="D51" s="41" t="s">
        <v>218</v>
      </c>
      <c r="E51" s="41" t="s">
        <v>218</v>
      </c>
    </row>
    <row r="52" spans="1:5" ht="18.75" x14ac:dyDescent="0.3">
      <c r="A52" s="41" t="s">
        <v>218</v>
      </c>
      <c r="B52" s="41" t="s">
        <v>218</v>
      </c>
      <c r="C52" s="321">
        <v>50</v>
      </c>
      <c r="D52" s="41" t="s">
        <v>218</v>
      </c>
      <c r="E52" s="41" t="s">
        <v>218</v>
      </c>
    </row>
    <row r="53" spans="1:5" ht="18.75" x14ac:dyDescent="0.3">
      <c r="A53" s="41" t="s">
        <v>218</v>
      </c>
      <c r="B53" s="41" t="s">
        <v>218</v>
      </c>
      <c r="C53" s="321">
        <v>51</v>
      </c>
      <c r="D53" s="41" t="s">
        <v>218</v>
      </c>
      <c r="E53" s="41" t="s">
        <v>218</v>
      </c>
    </row>
    <row r="54" spans="1:5" ht="18.75" x14ac:dyDescent="0.3">
      <c r="A54" s="41" t="s">
        <v>218</v>
      </c>
      <c r="B54" s="41" t="s">
        <v>218</v>
      </c>
      <c r="C54" s="319">
        <v>52</v>
      </c>
      <c r="D54" s="41" t="s">
        <v>218</v>
      </c>
      <c r="E54" s="41" t="s">
        <v>218</v>
      </c>
    </row>
    <row r="55" spans="1:5" ht="18.75" x14ac:dyDescent="0.3">
      <c r="A55" s="41" t="s">
        <v>218</v>
      </c>
      <c r="B55" s="41" t="s">
        <v>218</v>
      </c>
      <c r="C55" s="319">
        <v>53</v>
      </c>
      <c r="D55" s="41" t="s">
        <v>218</v>
      </c>
      <c r="E55" s="41" t="s">
        <v>218</v>
      </c>
    </row>
    <row r="56" spans="1:5" ht="18.75" x14ac:dyDescent="0.3">
      <c r="A56" s="41" t="s">
        <v>218</v>
      </c>
      <c r="B56" s="41" t="s">
        <v>218</v>
      </c>
      <c r="C56" s="319">
        <v>54</v>
      </c>
      <c r="D56" s="41" t="s">
        <v>218</v>
      </c>
      <c r="E56" s="41" t="s">
        <v>218</v>
      </c>
    </row>
    <row r="57" spans="1:5" ht="18.75" x14ac:dyDescent="0.3">
      <c r="A57" s="41" t="s">
        <v>218</v>
      </c>
      <c r="B57" s="41" t="s">
        <v>218</v>
      </c>
      <c r="C57" s="319">
        <v>55</v>
      </c>
      <c r="D57" s="41" t="s">
        <v>218</v>
      </c>
      <c r="E57" s="41" t="s">
        <v>218</v>
      </c>
    </row>
    <row r="58" spans="1:5" ht="18.75" x14ac:dyDescent="0.3">
      <c r="A58" s="41" t="s">
        <v>218</v>
      </c>
      <c r="B58" s="41" t="s">
        <v>218</v>
      </c>
      <c r="C58" s="319">
        <v>56</v>
      </c>
      <c r="D58" s="41" t="s">
        <v>218</v>
      </c>
      <c r="E58" s="41" t="s">
        <v>218</v>
      </c>
    </row>
    <row r="59" spans="1:5" ht="18.75" x14ac:dyDescent="0.3">
      <c r="A59" s="41" t="s">
        <v>218</v>
      </c>
      <c r="B59" s="41" t="s">
        <v>218</v>
      </c>
      <c r="C59" s="319">
        <v>57</v>
      </c>
      <c r="D59" s="41" t="s">
        <v>218</v>
      </c>
      <c r="E59" s="41" t="s">
        <v>218</v>
      </c>
    </row>
    <row r="60" spans="1:5" ht="18.75" x14ac:dyDescent="0.3">
      <c r="A60" s="30" t="s">
        <v>218</v>
      </c>
      <c r="B60" s="30" t="s">
        <v>218</v>
      </c>
      <c r="C60" s="321">
        <v>58</v>
      </c>
      <c r="D60" s="30" t="s">
        <v>218</v>
      </c>
      <c r="E60" s="1" t="s">
        <v>218</v>
      </c>
    </row>
    <row r="61" spans="1:5" ht="18.75" x14ac:dyDescent="0.3">
      <c r="A61" s="44" t="s">
        <v>59</v>
      </c>
      <c r="B61" s="44" t="s">
        <v>39</v>
      </c>
      <c r="C61" s="320">
        <v>59</v>
      </c>
      <c r="D61" s="44" t="s">
        <v>186</v>
      </c>
      <c r="E61" s="22" t="s">
        <v>338</v>
      </c>
    </row>
    <row r="62" spans="1:5" ht="18.75" x14ac:dyDescent="0.3">
      <c r="A62" s="41" t="s">
        <v>218</v>
      </c>
      <c r="B62" s="41" t="s">
        <v>218</v>
      </c>
      <c r="C62" s="319">
        <v>60</v>
      </c>
      <c r="D62" s="41" t="s">
        <v>218</v>
      </c>
      <c r="E62" s="25" t="s">
        <v>218</v>
      </c>
    </row>
    <row r="63" spans="1:5" ht="18.75" x14ac:dyDescent="0.3">
      <c r="A63" s="30" t="s">
        <v>218</v>
      </c>
      <c r="B63" s="30" t="s">
        <v>218</v>
      </c>
      <c r="C63" s="321">
        <v>61</v>
      </c>
      <c r="D63" s="30" t="s">
        <v>218</v>
      </c>
      <c r="E63" s="1" t="s">
        <v>218</v>
      </c>
    </row>
    <row r="64" spans="1:5" ht="18.75" x14ac:dyDescent="0.3">
      <c r="A64" s="44" t="s">
        <v>63</v>
      </c>
      <c r="B64" s="44" t="s">
        <v>314</v>
      </c>
      <c r="C64" s="320">
        <v>62</v>
      </c>
      <c r="D64" s="44" t="s">
        <v>337</v>
      </c>
      <c r="E64" s="22" t="s">
        <v>338</v>
      </c>
    </row>
    <row r="65" spans="1:5" ht="18.75" x14ac:dyDescent="0.3">
      <c r="A65" s="44" t="s">
        <v>569</v>
      </c>
      <c r="B65" s="44" t="s">
        <v>1052</v>
      </c>
      <c r="C65" s="320">
        <v>63</v>
      </c>
      <c r="D65" s="44" t="s">
        <v>377</v>
      </c>
      <c r="E65" s="22" t="s">
        <v>338</v>
      </c>
    </row>
    <row r="66" spans="1:5" ht="18.75" x14ac:dyDescent="0.3">
      <c r="A66" s="44" t="s">
        <v>1053</v>
      </c>
      <c r="B66" s="44" t="s">
        <v>1052</v>
      </c>
      <c r="C66" s="320">
        <v>64</v>
      </c>
      <c r="D66" s="44" t="s">
        <v>1051</v>
      </c>
      <c r="E66" s="22" t="s">
        <v>338</v>
      </c>
    </row>
    <row r="67" spans="1:5" ht="18.75" x14ac:dyDescent="0.3">
      <c r="A67" s="44" t="s">
        <v>1053</v>
      </c>
      <c r="B67" s="44" t="s">
        <v>1052</v>
      </c>
      <c r="C67" s="320">
        <v>65</v>
      </c>
      <c r="D67" s="44" t="s">
        <v>80</v>
      </c>
      <c r="E67" s="22" t="s">
        <v>338</v>
      </c>
    </row>
    <row r="68" spans="1:5" ht="18.75" x14ac:dyDescent="0.3">
      <c r="A68" s="44" t="s">
        <v>1053</v>
      </c>
      <c r="B68" s="44" t="s">
        <v>1052</v>
      </c>
      <c r="C68" s="320">
        <v>66</v>
      </c>
      <c r="D68" s="44" t="s">
        <v>1056</v>
      </c>
      <c r="E68" s="22" t="s">
        <v>338</v>
      </c>
    </row>
    <row r="69" spans="1:5" ht="18.75" x14ac:dyDescent="0.3">
      <c r="A69" s="44" t="s">
        <v>1053</v>
      </c>
      <c r="B69" s="44" t="s">
        <v>1052</v>
      </c>
      <c r="C69" s="320">
        <v>67</v>
      </c>
      <c r="D69" s="44" t="s">
        <v>1057</v>
      </c>
      <c r="E69" s="22" t="s">
        <v>338</v>
      </c>
    </row>
    <row r="70" spans="1:5" ht="18.75" x14ac:dyDescent="0.3">
      <c r="A70" s="44" t="s">
        <v>1053</v>
      </c>
      <c r="B70" s="44" t="s">
        <v>1052</v>
      </c>
      <c r="C70" s="320">
        <v>68</v>
      </c>
      <c r="D70" s="44" t="s">
        <v>218</v>
      </c>
      <c r="E70" s="22" t="s">
        <v>338</v>
      </c>
    </row>
    <row r="71" spans="1:5" ht="18.75" x14ac:dyDescent="0.3">
      <c r="A71" s="44" t="s">
        <v>1053</v>
      </c>
      <c r="B71" s="44" t="s">
        <v>1052</v>
      </c>
      <c r="C71" s="320">
        <v>69</v>
      </c>
      <c r="D71" s="44" t="s">
        <v>1058</v>
      </c>
      <c r="E71" s="22" t="s">
        <v>338</v>
      </c>
    </row>
    <row r="72" spans="1:5" ht="18.75" x14ac:dyDescent="0.3">
      <c r="A72" s="30" t="s">
        <v>218</v>
      </c>
      <c r="B72" s="30" t="s">
        <v>218</v>
      </c>
      <c r="C72" s="321">
        <v>70</v>
      </c>
      <c r="D72" s="30" t="s">
        <v>218</v>
      </c>
      <c r="E72" s="1" t="s">
        <v>218</v>
      </c>
    </row>
    <row r="73" spans="1:5" ht="18.75" x14ac:dyDescent="0.3">
      <c r="A73" s="44" t="s">
        <v>119</v>
      </c>
      <c r="B73" s="44" t="s">
        <v>41</v>
      </c>
      <c r="C73" s="320">
        <v>71</v>
      </c>
      <c r="D73" s="44" t="s">
        <v>1439</v>
      </c>
      <c r="E73" s="22" t="s">
        <v>338</v>
      </c>
    </row>
    <row r="74" spans="1:5" ht="18.75" x14ac:dyDescent="0.3">
      <c r="A74" s="323" t="s">
        <v>1053</v>
      </c>
      <c r="B74" s="323" t="s">
        <v>1052</v>
      </c>
      <c r="C74" s="324">
        <v>72</v>
      </c>
      <c r="D74" s="323" t="s">
        <v>218</v>
      </c>
      <c r="E74" s="325" t="s">
        <v>218</v>
      </c>
    </row>
    <row r="75" spans="1:5" ht="18.75" x14ac:dyDescent="0.3">
      <c r="A75" s="323" t="s">
        <v>1053</v>
      </c>
      <c r="B75" s="323" t="s">
        <v>1052</v>
      </c>
      <c r="C75" s="324">
        <v>73</v>
      </c>
      <c r="D75" s="323" t="s">
        <v>218</v>
      </c>
      <c r="E75" s="325" t="s">
        <v>218</v>
      </c>
    </row>
    <row r="76" spans="1:5" ht="18.75" x14ac:dyDescent="0.3">
      <c r="A76" s="323" t="s">
        <v>1053</v>
      </c>
      <c r="B76" s="323" t="s">
        <v>1052</v>
      </c>
      <c r="C76" s="324">
        <v>74</v>
      </c>
      <c r="D76" s="323" t="s">
        <v>218</v>
      </c>
      <c r="E76" s="325" t="s">
        <v>218</v>
      </c>
    </row>
    <row r="77" spans="1:5" ht="18.75" x14ac:dyDescent="0.3">
      <c r="A77" s="30" t="s">
        <v>218</v>
      </c>
      <c r="B77" s="30" t="s">
        <v>218</v>
      </c>
      <c r="C77" s="321">
        <v>75</v>
      </c>
      <c r="D77" s="30" t="s">
        <v>218</v>
      </c>
      <c r="E77" s="1" t="s">
        <v>218</v>
      </c>
    </row>
    <row r="78" spans="1:5" ht="18.75" x14ac:dyDescent="0.3">
      <c r="A78" s="30" t="s">
        <v>218</v>
      </c>
      <c r="B78" s="30" t="s">
        <v>218</v>
      </c>
      <c r="C78" s="321">
        <v>76</v>
      </c>
      <c r="D78" s="30" t="s">
        <v>218</v>
      </c>
      <c r="E78" s="1" t="s">
        <v>218</v>
      </c>
    </row>
    <row r="79" spans="1:5" ht="18.75" x14ac:dyDescent="0.3">
      <c r="A79" s="30" t="s">
        <v>218</v>
      </c>
      <c r="B79" s="30" t="s">
        <v>218</v>
      </c>
      <c r="C79" s="321">
        <v>77</v>
      </c>
      <c r="D79" s="30" t="s">
        <v>218</v>
      </c>
      <c r="E79" s="1" t="s">
        <v>218</v>
      </c>
    </row>
    <row r="80" spans="1:5" ht="18.75" x14ac:dyDescent="0.3">
      <c r="A80" s="30" t="s">
        <v>218</v>
      </c>
      <c r="B80" s="30" t="s">
        <v>218</v>
      </c>
      <c r="C80" s="321">
        <v>78</v>
      </c>
      <c r="D80" s="30" t="s">
        <v>218</v>
      </c>
      <c r="E80" s="1" t="s">
        <v>218</v>
      </c>
    </row>
    <row r="81" spans="1:5" ht="18.75" x14ac:dyDescent="0.3">
      <c r="A81" s="30" t="s">
        <v>218</v>
      </c>
      <c r="B81" s="30" t="s">
        <v>218</v>
      </c>
      <c r="C81" s="321">
        <v>79</v>
      </c>
      <c r="D81" s="30" t="s">
        <v>218</v>
      </c>
      <c r="E81" s="30" t="s">
        <v>218</v>
      </c>
    </row>
    <row r="82" spans="1:5" ht="18.75" x14ac:dyDescent="0.3">
      <c r="A82" s="41" t="s">
        <v>218</v>
      </c>
      <c r="B82" s="41" t="s">
        <v>218</v>
      </c>
      <c r="C82" s="319">
        <v>80</v>
      </c>
      <c r="D82" s="41" t="s">
        <v>218</v>
      </c>
      <c r="E82" s="41" t="s">
        <v>218</v>
      </c>
    </row>
    <row r="83" spans="1:5" ht="18.75" x14ac:dyDescent="0.3">
      <c r="A83" s="317" t="s">
        <v>1519</v>
      </c>
      <c r="B83" s="44" t="s">
        <v>178</v>
      </c>
      <c r="C83" s="320">
        <v>81</v>
      </c>
      <c r="D83" s="44" t="s">
        <v>172</v>
      </c>
      <c r="E83" s="22" t="s">
        <v>338</v>
      </c>
    </row>
    <row r="84" spans="1:5" ht="18.75" x14ac:dyDescent="0.3">
      <c r="A84" s="44" t="s">
        <v>59</v>
      </c>
      <c r="B84" s="44" t="s">
        <v>1362</v>
      </c>
      <c r="C84" s="320">
        <v>82</v>
      </c>
      <c r="D84" s="44" t="s">
        <v>236</v>
      </c>
      <c r="E84" s="22" t="s">
        <v>338</v>
      </c>
    </row>
    <row r="85" spans="1:5" ht="18.75" x14ac:dyDescent="0.3">
      <c r="A85" s="30" t="s">
        <v>218</v>
      </c>
      <c r="B85" s="30" t="s">
        <v>218</v>
      </c>
      <c r="C85" s="321">
        <v>83</v>
      </c>
      <c r="D85" s="30" t="s">
        <v>218</v>
      </c>
      <c r="E85" s="30" t="s">
        <v>218</v>
      </c>
    </row>
    <row r="86" spans="1:5" ht="18.75" x14ac:dyDescent="0.3">
      <c r="A86" s="30" t="s">
        <v>218</v>
      </c>
      <c r="B86" s="30" t="s">
        <v>218</v>
      </c>
      <c r="C86" s="321">
        <v>84</v>
      </c>
      <c r="D86" s="30" t="s">
        <v>218</v>
      </c>
      <c r="E86" s="30" t="s">
        <v>218</v>
      </c>
    </row>
    <row r="87" spans="1:5" ht="18.75" x14ac:dyDescent="0.3">
      <c r="A87" s="30" t="s">
        <v>218</v>
      </c>
      <c r="B87" s="30" t="s">
        <v>218</v>
      </c>
      <c r="C87" s="321">
        <v>85</v>
      </c>
      <c r="D87" s="30" t="s">
        <v>218</v>
      </c>
      <c r="E87" s="30" t="s">
        <v>218</v>
      </c>
    </row>
    <row r="88" spans="1:5" ht="18.75" x14ac:dyDescent="0.3">
      <c r="A88" s="30" t="s">
        <v>218</v>
      </c>
      <c r="B88" s="30" t="s">
        <v>218</v>
      </c>
      <c r="C88" s="321">
        <v>86</v>
      </c>
      <c r="D88" s="30" t="s">
        <v>218</v>
      </c>
      <c r="E88" s="30" t="s">
        <v>218</v>
      </c>
    </row>
    <row r="89" spans="1:5" ht="18.75" x14ac:dyDescent="0.3">
      <c r="A89" s="30" t="s">
        <v>218</v>
      </c>
      <c r="B89" s="30" t="s">
        <v>218</v>
      </c>
      <c r="C89" s="321">
        <v>87</v>
      </c>
      <c r="D89" s="30" t="s">
        <v>218</v>
      </c>
      <c r="E89" s="30" t="s">
        <v>218</v>
      </c>
    </row>
    <row r="90" spans="1:5" ht="18.75" x14ac:dyDescent="0.3">
      <c r="A90" s="30" t="s">
        <v>218</v>
      </c>
      <c r="B90" s="30" t="s">
        <v>218</v>
      </c>
      <c r="C90" s="321">
        <v>88</v>
      </c>
      <c r="D90" s="30" t="s">
        <v>218</v>
      </c>
      <c r="E90" s="30" t="s">
        <v>218</v>
      </c>
    </row>
    <row r="91" spans="1:5" ht="18.75" x14ac:dyDescent="0.3">
      <c r="A91" s="30" t="s">
        <v>218</v>
      </c>
      <c r="B91" s="30" t="s">
        <v>218</v>
      </c>
      <c r="C91" s="321">
        <v>89</v>
      </c>
      <c r="D91" s="30" t="s">
        <v>218</v>
      </c>
      <c r="E91" s="30" t="s">
        <v>218</v>
      </c>
    </row>
    <row r="92" spans="1:5" ht="18.75" x14ac:dyDescent="0.3">
      <c r="A92" s="44" t="s">
        <v>569</v>
      </c>
      <c r="B92" s="44" t="s">
        <v>1054</v>
      </c>
      <c r="C92" s="320">
        <v>90</v>
      </c>
      <c r="D92" s="44" t="s">
        <v>377</v>
      </c>
      <c r="E92" s="22" t="s">
        <v>338</v>
      </c>
    </row>
    <row r="93" spans="1:5" ht="18.75" x14ac:dyDescent="0.3">
      <c r="A93" s="30" t="s">
        <v>218</v>
      </c>
      <c r="B93" s="30" t="s">
        <v>218</v>
      </c>
      <c r="C93" s="321">
        <v>91</v>
      </c>
      <c r="D93" s="30" t="s">
        <v>218</v>
      </c>
      <c r="E93" s="1" t="s">
        <v>218</v>
      </c>
    </row>
    <row r="94" spans="1:5" ht="18.75" x14ac:dyDescent="0.3">
      <c r="A94" s="30" t="s">
        <v>218</v>
      </c>
      <c r="B94" s="30" t="s">
        <v>218</v>
      </c>
      <c r="C94" s="321">
        <v>92</v>
      </c>
      <c r="D94" s="30" t="s">
        <v>218</v>
      </c>
      <c r="E94" s="1" t="s">
        <v>218</v>
      </c>
    </row>
    <row r="95" spans="1:5" ht="18.75" x14ac:dyDescent="0.3">
      <c r="A95" s="30" t="s">
        <v>218</v>
      </c>
      <c r="B95" s="30" t="s">
        <v>218</v>
      </c>
      <c r="C95" s="321">
        <v>93</v>
      </c>
      <c r="D95" s="30" t="s">
        <v>218</v>
      </c>
      <c r="E95" s="30" t="s">
        <v>218</v>
      </c>
    </row>
    <row r="96" spans="1:5" ht="18.75" x14ac:dyDescent="0.3">
      <c r="A96" s="30" t="s">
        <v>218</v>
      </c>
      <c r="B96" s="30" t="s">
        <v>218</v>
      </c>
      <c r="C96" s="321">
        <v>94</v>
      </c>
      <c r="D96" s="30" t="s">
        <v>218</v>
      </c>
      <c r="E96" s="30" t="s">
        <v>218</v>
      </c>
    </row>
    <row r="97" spans="1:5" ht="18.75" x14ac:dyDescent="0.3">
      <c r="A97" s="30" t="s">
        <v>218</v>
      </c>
      <c r="B97" s="30" t="s">
        <v>218</v>
      </c>
      <c r="C97" s="321">
        <v>95</v>
      </c>
      <c r="D97" s="30" t="s">
        <v>218</v>
      </c>
      <c r="E97" s="30" t="s">
        <v>218</v>
      </c>
    </row>
    <row r="98" spans="1:5" ht="18.75" x14ac:dyDescent="0.3">
      <c r="A98" s="44" t="s">
        <v>718</v>
      </c>
      <c r="B98" s="44" t="s">
        <v>726</v>
      </c>
      <c r="C98" s="320">
        <v>96</v>
      </c>
      <c r="D98" s="44" t="s">
        <v>549</v>
      </c>
      <c r="E98" s="44" t="s">
        <v>338</v>
      </c>
    </row>
    <row r="99" spans="1:5" ht="18.75" x14ac:dyDescent="0.3">
      <c r="A99" s="44" t="s">
        <v>718</v>
      </c>
      <c r="B99" s="44" t="s">
        <v>95</v>
      </c>
      <c r="C99" s="320">
        <v>97</v>
      </c>
      <c r="D99" s="44" t="s">
        <v>751</v>
      </c>
      <c r="E99" s="44" t="s">
        <v>338</v>
      </c>
    </row>
    <row r="100" spans="1:5" ht="18.75" x14ac:dyDescent="0.3">
      <c r="A100" s="44" t="s">
        <v>718</v>
      </c>
      <c r="B100" s="44" t="s">
        <v>730</v>
      </c>
      <c r="C100" s="320">
        <v>98</v>
      </c>
      <c r="D100" s="44" t="s">
        <v>134</v>
      </c>
      <c r="E100" s="44" t="s">
        <v>338</v>
      </c>
    </row>
    <row r="101" spans="1:5" ht="18.75" x14ac:dyDescent="0.3">
      <c r="A101" s="30" t="s">
        <v>218</v>
      </c>
      <c r="B101" s="30" t="s">
        <v>218</v>
      </c>
      <c r="C101" s="321">
        <v>99</v>
      </c>
      <c r="D101" s="30" t="s">
        <v>218</v>
      </c>
      <c r="E101" s="30" t="s">
        <v>218</v>
      </c>
    </row>
    <row r="102" spans="1:5" ht="18.75" x14ac:dyDescent="0.3">
      <c r="A102" s="44" t="s">
        <v>219</v>
      </c>
      <c r="B102" s="44" t="s">
        <v>14</v>
      </c>
      <c r="C102" s="320">
        <v>100</v>
      </c>
      <c r="D102" s="44" t="s">
        <v>14</v>
      </c>
      <c r="E102" s="22" t="s">
        <v>338</v>
      </c>
    </row>
    <row r="103" spans="1:5" ht="18.75" x14ac:dyDescent="0.3">
      <c r="A103" s="30" t="s">
        <v>218</v>
      </c>
      <c r="B103" s="30" t="s">
        <v>218</v>
      </c>
      <c r="C103" s="321">
        <v>101</v>
      </c>
      <c r="D103" s="30" t="s">
        <v>218</v>
      </c>
      <c r="E103" s="30" t="s">
        <v>218</v>
      </c>
    </row>
    <row r="104" spans="1:5" ht="18.75" x14ac:dyDescent="0.3">
      <c r="A104" s="30" t="s">
        <v>218</v>
      </c>
      <c r="B104" s="30" t="s">
        <v>218</v>
      </c>
      <c r="C104" s="321">
        <v>102</v>
      </c>
      <c r="D104" s="30" t="s">
        <v>218</v>
      </c>
      <c r="E104" s="30" t="s">
        <v>218</v>
      </c>
    </row>
    <row r="105" spans="1:5" ht="18.75" x14ac:dyDescent="0.3">
      <c r="A105" s="41" t="s">
        <v>218</v>
      </c>
      <c r="B105" s="41" t="s">
        <v>218</v>
      </c>
      <c r="C105" s="319">
        <v>103</v>
      </c>
      <c r="D105" s="41" t="s">
        <v>218</v>
      </c>
      <c r="E105" s="41" t="s">
        <v>218</v>
      </c>
    </row>
    <row r="106" spans="1:5" ht="18.75" x14ac:dyDescent="0.3">
      <c r="A106" s="41" t="s">
        <v>218</v>
      </c>
      <c r="B106" s="41" t="s">
        <v>218</v>
      </c>
      <c r="C106" s="321">
        <v>104</v>
      </c>
      <c r="D106" s="41" t="s">
        <v>218</v>
      </c>
      <c r="E106" s="41" t="s">
        <v>218</v>
      </c>
    </row>
    <row r="107" spans="1:5" ht="18.75" x14ac:dyDescent="0.3">
      <c r="A107" s="30" t="s">
        <v>218</v>
      </c>
      <c r="B107" s="30" t="s">
        <v>218</v>
      </c>
      <c r="C107" s="321">
        <v>105</v>
      </c>
      <c r="D107" s="30" t="s">
        <v>218</v>
      </c>
      <c r="E107" s="1" t="s">
        <v>218</v>
      </c>
    </row>
    <row r="108" spans="1:5" ht="18.75" x14ac:dyDescent="0.3">
      <c r="A108" s="44" t="s">
        <v>190</v>
      </c>
      <c r="B108" s="44" t="s">
        <v>188</v>
      </c>
      <c r="C108" s="320">
        <v>106</v>
      </c>
      <c r="D108" s="44" t="s">
        <v>14</v>
      </c>
      <c r="E108" s="22" t="s">
        <v>1575</v>
      </c>
    </row>
    <row r="109" spans="1:5" ht="18.75" x14ac:dyDescent="0.3">
      <c r="A109" s="44" t="s">
        <v>88</v>
      </c>
      <c r="B109" s="44" t="s">
        <v>100</v>
      </c>
      <c r="C109" s="320">
        <v>107</v>
      </c>
      <c r="D109" s="44" t="s">
        <v>548</v>
      </c>
      <c r="E109" s="22" t="s">
        <v>338</v>
      </c>
    </row>
    <row r="110" spans="1:5" ht="18.75" x14ac:dyDescent="0.3">
      <c r="A110" s="30" t="s">
        <v>218</v>
      </c>
      <c r="B110" s="30" t="s">
        <v>218</v>
      </c>
      <c r="C110" s="321">
        <v>108</v>
      </c>
      <c r="D110" s="30" t="s">
        <v>218</v>
      </c>
      <c r="E110" s="30" t="s">
        <v>218</v>
      </c>
    </row>
    <row r="111" spans="1:5" ht="18.75" x14ac:dyDescent="0.3">
      <c r="A111" s="30" t="s">
        <v>218</v>
      </c>
      <c r="B111" s="30" t="s">
        <v>218</v>
      </c>
      <c r="C111" s="321">
        <v>109</v>
      </c>
      <c r="D111" s="30" t="s">
        <v>218</v>
      </c>
      <c r="E111" s="30" t="s">
        <v>218</v>
      </c>
    </row>
    <row r="112" spans="1:5" ht="18.75" x14ac:dyDescent="0.3">
      <c r="A112" s="44" t="s">
        <v>346</v>
      </c>
      <c r="B112" s="44" t="s">
        <v>224</v>
      </c>
      <c r="C112" s="320">
        <v>110</v>
      </c>
      <c r="D112" s="44" t="s">
        <v>567</v>
      </c>
      <c r="E112" s="44" t="s">
        <v>338</v>
      </c>
    </row>
    <row r="113" spans="1:5" ht="18.75" x14ac:dyDescent="0.3">
      <c r="A113" s="30" t="s">
        <v>218</v>
      </c>
      <c r="B113" s="30" t="s">
        <v>218</v>
      </c>
      <c r="C113" s="321">
        <v>111</v>
      </c>
      <c r="D113" s="30" t="s">
        <v>218</v>
      </c>
      <c r="E113" s="30" t="s">
        <v>218</v>
      </c>
    </row>
    <row r="114" spans="1:5" ht="18.75" x14ac:dyDescent="0.3">
      <c r="A114" s="41" t="s">
        <v>218</v>
      </c>
      <c r="B114" s="41" t="s">
        <v>218</v>
      </c>
      <c r="C114" s="319">
        <v>112</v>
      </c>
      <c r="D114" s="41" t="s">
        <v>218</v>
      </c>
      <c r="E114" s="25" t="s">
        <v>218</v>
      </c>
    </row>
    <row r="115" spans="1:5" ht="18.75" x14ac:dyDescent="0.3">
      <c r="A115" s="44" t="s">
        <v>63</v>
      </c>
      <c r="B115" s="44" t="s">
        <v>1351</v>
      </c>
      <c r="C115" s="320">
        <v>113</v>
      </c>
      <c r="D115" s="44" t="s">
        <v>1349</v>
      </c>
      <c r="E115" s="22" t="s">
        <v>338</v>
      </c>
    </row>
    <row r="116" spans="1:5" ht="18.75" x14ac:dyDescent="0.3">
      <c r="A116" s="30" t="s">
        <v>104</v>
      </c>
      <c r="B116" s="30" t="s">
        <v>1636</v>
      </c>
      <c r="C116" s="321">
        <v>114</v>
      </c>
      <c r="D116" s="30" t="s">
        <v>1636</v>
      </c>
      <c r="E116" s="1" t="s">
        <v>1635</v>
      </c>
    </row>
    <row r="117" spans="1:5" ht="18.75" x14ac:dyDescent="0.3">
      <c r="A117" s="30" t="s">
        <v>218</v>
      </c>
      <c r="B117" s="30" t="s">
        <v>218</v>
      </c>
      <c r="C117" s="321">
        <v>115</v>
      </c>
      <c r="D117" s="30" t="s">
        <v>218</v>
      </c>
      <c r="E117" s="30" t="s">
        <v>218</v>
      </c>
    </row>
    <row r="118" spans="1:5" ht="18.75" x14ac:dyDescent="0.3">
      <c r="A118" s="30" t="s">
        <v>218</v>
      </c>
      <c r="B118" s="30" t="s">
        <v>218</v>
      </c>
      <c r="C118" s="321">
        <v>116</v>
      </c>
      <c r="D118" s="30" t="s">
        <v>218</v>
      </c>
      <c r="E118" s="30" t="s">
        <v>218</v>
      </c>
    </row>
    <row r="119" spans="1:5" ht="18.75" x14ac:dyDescent="0.3">
      <c r="A119" s="30" t="s">
        <v>218</v>
      </c>
      <c r="B119" s="30" t="s">
        <v>218</v>
      </c>
      <c r="C119" s="321">
        <v>117</v>
      </c>
      <c r="D119" s="30" t="s">
        <v>218</v>
      </c>
      <c r="E119" s="30" t="s">
        <v>218</v>
      </c>
    </row>
    <row r="120" spans="1:5" ht="18.75" x14ac:dyDescent="0.3">
      <c r="A120" s="30" t="s">
        <v>218</v>
      </c>
      <c r="B120" s="30" t="s">
        <v>218</v>
      </c>
      <c r="C120" s="321">
        <v>118</v>
      </c>
      <c r="D120" s="30" t="s">
        <v>218</v>
      </c>
      <c r="E120" s="30" t="s">
        <v>218</v>
      </c>
    </row>
    <row r="121" spans="1:5" ht="18.75" x14ac:dyDescent="0.3">
      <c r="A121" s="30" t="s">
        <v>218</v>
      </c>
      <c r="B121" s="30" t="s">
        <v>218</v>
      </c>
      <c r="C121" s="321">
        <v>119</v>
      </c>
      <c r="D121" s="30" t="s">
        <v>218</v>
      </c>
      <c r="E121" s="30" t="s">
        <v>218</v>
      </c>
    </row>
    <row r="122" spans="1:5" ht="18.75" x14ac:dyDescent="0.3">
      <c r="A122" s="30" t="s">
        <v>218</v>
      </c>
      <c r="B122" s="30" t="s">
        <v>218</v>
      </c>
      <c r="C122" s="321">
        <v>120</v>
      </c>
      <c r="D122" s="30" t="s">
        <v>218</v>
      </c>
      <c r="E122" s="30" t="s">
        <v>218</v>
      </c>
    </row>
    <row r="123" spans="1:5" ht="18.75" x14ac:dyDescent="0.3">
      <c r="A123" s="44" t="s">
        <v>59</v>
      </c>
      <c r="B123" s="44" t="s">
        <v>60</v>
      </c>
      <c r="C123" s="320">
        <v>121</v>
      </c>
      <c r="D123" s="44" t="s">
        <v>14</v>
      </c>
      <c r="E123" s="22" t="s">
        <v>1575</v>
      </c>
    </row>
    <row r="124" spans="1:5" ht="18.75" x14ac:dyDescent="0.3">
      <c r="A124" s="44" t="s">
        <v>59</v>
      </c>
      <c r="B124" s="44" t="s">
        <v>154</v>
      </c>
      <c r="C124" s="320">
        <v>122</v>
      </c>
      <c r="D124" s="44" t="s">
        <v>155</v>
      </c>
      <c r="E124" s="22" t="s">
        <v>338</v>
      </c>
    </row>
    <row r="125" spans="1:5" ht="18.75" x14ac:dyDescent="0.3">
      <c r="A125" s="30" t="s">
        <v>218</v>
      </c>
      <c r="B125" s="30" t="s">
        <v>218</v>
      </c>
      <c r="C125" s="321">
        <v>123</v>
      </c>
      <c r="D125" s="30" t="s">
        <v>218</v>
      </c>
      <c r="E125" s="1" t="s">
        <v>218</v>
      </c>
    </row>
    <row r="126" spans="1:5" ht="18.75" x14ac:dyDescent="0.3">
      <c r="A126" s="30" t="s">
        <v>218</v>
      </c>
      <c r="B126" s="30" t="s">
        <v>218</v>
      </c>
      <c r="C126" s="321">
        <v>124</v>
      </c>
      <c r="D126" s="30" t="s">
        <v>218</v>
      </c>
      <c r="E126" s="30" t="s">
        <v>218</v>
      </c>
    </row>
    <row r="127" spans="1:5" ht="18.75" x14ac:dyDescent="0.3">
      <c r="A127" s="44" t="s">
        <v>91</v>
      </c>
      <c r="B127" s="44" t="s">
        <v>188</v>
      </c>
      <c r="C127" s="320">
        <v>125</v>
      </c>
      <c r="D127" s="44" t="s">
        <v>1075</v>
      </c>
      <c r="E127" s="22" t="s">
        <v>338</v>
      </c>
    </row>
    <row r="128" spans="1:5" ht="18.75" x14ac:dyDescent="0.3">
      <c r="A128" s="30" t="s">
        <v>218</v>
      </c>
      <c r="B128" s="30" t="s">
        <v>218</v>
      </c>
      <c r="C128" s="321">
        <v>126</v>
      </c>
      <c r="D128" s="30" t="s">
        <v>218</v>
      </c>
      <c r="E128" s="30" t="s">
        <v>218</v>
      </c>
    </row>
    <row r="129" spans="1:5" ht="18.75" x14ac:dyDescent="0.3">
      <c r="A129" s="30" t="s">
        <v>218</v>
      </c>
      <c r="B129" s="30" t="s">
        <v>218</v>
      </c>
      <c r="C129" s="321">
        <v>127</v>
      </c>
      <c r="D129" s="30" t="s">
        <v>218</v>
      </c>
      <c r="E129" s="30" t="s">
        <v>218</v>
      </c>
    </row>
    <row r="130" spans="1:5" ht="18.75" x14ac:dyDescent="0.3">
      <c r="A130" s="44" t="s">
        <v>59</v>
      </c>
      <c r="B130" s="44" t="s">
        <v>1361</v>
      </c>
      <c r="C130" s="320">
        <v>128</v>
      </c>
      <c r="D130" s="44" t="s">
        <v>973</v>
      </c>
      <c r="E130" s="44" t="s">
        <v>338</v>
      </c>
    </row>
    <row r="131" spans="1:5" ht="18.75" x14ac:dyDescent="0.3">
      <c r="A131" s="30" t="s">
        <v>218</v>
      </c>
      <c r="B131" s="30" t="s">
        <v>218</v>
      </c>
      <c r="C131" s="321">
        <v>129</v>
      </c>
      <c r="D131" s="30" t="s">
        <v>218</v>
      </c>
      <c r="E131" s="30" t="s">
        <v>218</v>
      </c>
    </row>
    <row r="132" spans="1:5" ht="18.75" x14ac:dyDescent="0.3">
      <c r="A132" s="44" t="s">
        <v>63</v>
      </c>
      <c r="B132" s="44" t="s">
        <v>755</v>
      </c>
      <c r="C132" s="320">
        <v>130</v>
      </c>
      <c r="D132" s="44" t="s">
        <v>77</v>
      </c>
      <c r="E132" s="22" t="s">
        <v>338</v>
      </c>
    </row>
    <row r="133" spans="1:5" ht="18.75" x14ac:dyDescent="0.3">
      <c r="A133" s="30" t="s">
        <v>218</v>
      </c>
      <c r="B133" s="30" t="s">
        <v>218</v>
      </c>
      <c r="C133" s="321">
        <v>131</v>
      </c>
      <c r="D133" s="30" t="s">
        <v>218</v>
      </c>
      <c r="E133" s="1" t="s">
        <v>218</v>
      </c>
    </row>
    <row r="134" spans="1:5" ht="18.75" x14ac:dyDescent="0.3">
      <c r="A134" s="44" t="s">
        <v>187</v>
      </c>
      <c r="B134" s="44" t="s">
        <v>151</v>
      </c>
      <c r="C134" s="320">
        <v>132</v>
      </c>
      <c r="D134" s="44" t="s">
        <v>1136</v>
      </c>
      <c r="E134" s="22" t="s">
        <v>338</v>
      </c>
    </row>
    <row r="135" spans="1:5" ht="18.75" x14ac:dyDescent="0.3">
      <c r="A135" s="30" t="s">
        <v>218</v>
      </c>
      <c r="B135" s="30" t="s">
        <v>218</v>
      </c>
      <c r="C135" s="321">
        <v>133</v>
      </c>
      <c r="D135" s="30" t="s">
        <v>218</v>
      </c>
      <c r="E135" s="1" t="s">
        <v>218</v>
      </c>
    </row>
    <row r="136" spans="1:5" ht="18.75" x14ac:dyDescent="0.3">
      <c r="A136" s="30" t="s">
        <v>218</v>
      </c>
      <c r="B136" s="30" t="s">
        <v>218</v>
      </c>
      <c r="C136" s="321">
        <v>134</v>
      </c>
      <c r="D136" s="30" t="s">
        <v>218</v>
      </c>
      <c r="E136" s="1" t="s">
        <v>218</v>
      </c>
    </row>
    <row r="137" spans="1:5" ht="18.75" x14ac:dyDescent="0.3">
      <c r="A137" s="30" t="s">
        <v>218</v>
      </c>
      <c r="B137" s="30" t="s">
        <v>218</v>
      </c>
      <c r="C137" s="321">
        <v>135</v>
      </c>
      <c r="D137" s="30" t="s">
        <v>218</v>
      </c>
      <c r="E137" s="1" t="s">
        <v>218</v>
      </c>
    </row>
    <row r="138" spans="1:5" ht="18.75" x14ac:dyDescent="0.3">
      <c r="A138" s="41" t="s">
        <v>218</v>
      </c>
      <c r="B138" s="41" t="s">
        <v>218</v>
      </c>
      <c r="C138" s="319">
        <v>136</v>
      </c>
      <c r="D138" s="41" t="s">
        <v>218</v>
      </c>
      <c r="E138" s="25" t="s">
        <v>218</v>
      </c>
    </row>
    <row r="139" spans="1:5" ht="18.75" x14ac:dyDescent="0.3">
      <c r="A139" s="30" t="s">
        <v>218</v>
      </c>
      <c r="B139" s="30" t="s">
        <v>218</v>
      </c>
      <c r="C139" s="321">
        <v>139</v>
      </c>
      <c r="D139" s="30" t="s">
        <v>218</v>
      </c>
      <c r="E139" s="1" t="s">
        <v>218</v>
      </c>
    </row>
    <row r="140" spans="1:5" ht="18.75" x14ac:dyDescent="0.3">
      <c r="A140" s="44" t="s">
        <v>1222</v>
      </c>
      <c r="B140" s="44" t="s">
        <v>904</v>
      </c>
      <c r="C140" s="320">
        <v>140</v>
      </c>
      <c r="D140" s="44" t="s">
        <v>1223</v>
      </c>
      <c r="E140" s="22" t="s">
        <v>338</v>
      </c>
    </row>
    <row r="141" spans="1:5" ht="18.75" x14ac:dyDescent="0.3">
      <c r="A141" s="44" t="s">
        <v>1222</v>
      </c>
      <c r="B141" s="44" t="s">
        <v>1224</v>
      </c>
      <c r="C141" s="320">
        <v>141</v>
      </c>
      <c r="D141" s="44" t="s">
        <v>80</v>
      </c>
      <c r="E141" s="22" t="s">
        <v>338</v>
      </c>
    </row>
    <row r="142" spans="1:5" ht="18.75" x14ac:dyDescent="0.3">
      <c r="A142" s="44" t="s">
        <v>1222</v>
      </c>
      <c r="B142" s="44" t="s">
        <v>1225</v>
      </c>
      <c r="C142" s="320">
        <v>142</v>
      </c>
      <c r="D142" s="44" t="s">
        <v>1226</v>
      </c>
      <c r="E142" s="22" t="s">
        <v>338</v>
      </c>
    </row>
    <row r="143" spans="1:5" ht="18.75" x14ac:dyDescent="0.3">
      <c r="A143" s="44" t="s">
        <v>1567</v>
      </c>
      <c r="B143" s="44" t="s">
        <v>1568</v>
      </c>
      <c r="C143" s="320">
        <v>143</v>
      </c>
      <c r="D143" s="44" t="s">
        <v>14</v>
      </c>
      <c r="E143" s="44" t="s">
        <v>338</v>
      </c>
    </row>
    <row r="144" spans="1:5" ht="18.75" x14ac:dyDescent="0.3">
      <c r="A144" s="30" t="s">
        <v>218</v>
      </c>
      <c r="B144" s="30" t="s">
        <v>218</v>
      </c>
      <c r="C144" s="321">
        <v>144</v>
      </c>
      <c r="D144" s="30" t="s">
        <v>218</v>
      </c>
      <c r="E144" s="30" t="s">
        <v>218</v>
      </c>
    </row>
    <row r="145" spans="1:5" ht="18.75" x14ac:dyDescent="0.3">
      <c r="A145" s="30" t="s">
        <v>218</v>
      </c>
      <c r="B145" s="30" t="s">
        <v>218</v>
      </c>
      <c r="C145" s="321">
        <v>145</v>
      </c>
      <c r="D145" s="30" t="s">
        <v>218</v>
      </c>
      <c r="E145" s="30" t="s">
        <v>218</v>
      </c>
    </row>
    <row r="146" spans="1:5" ht="18.75" x14ac:dyDescent="0.3">
      <c r="A146" s="44" t="s">
        <v>289</v>
      </c>
      <c r="B146" s="44" t="s">
        <v>125</v>
      </c>
      <c r="C146" s="320">
        <v>146</v>
      </c>
      <c r="D146" s="44" t="s">
        <v>127</v>
      </c>
      <c r="E146" s="22" t="s">
        <v>338</v>
      </c>
    </row>
    <row r="147" spans="1:5" ht="18.75" x14ac:dyDescent="0.3">
      <c r="A147" s="44" t="s">
        <v>289</v>
      </c>
      <c r="B147" s="44" t="s">
        <v>34</v>
      </c>
      <c r="C147" s="320">
        <v>147</v>
      </c>
      <c r="D147" s="44" t="s">
        <v>239</v>
      </c>
      <c r="E147" s="22" t="s">
        <v>338</v>
      </c>
    </row>
    <row r="148" spans="1:5" ht="18.75" x14ac:dyDescent="0.3">
      <c r="A148" s="44" t="s">
        <v>289</v>
      </c>
      <c r="B148" s="44" t="s">
        <v>319</v>
      </c>
      <c r="C148" s="320">
        <v>148</v>
      </c>
      <c r="D148" s="44" t="s">
        <v>237</v>
      </c>
      <c r="E148" s="22" t="s">
        <v>338</v>
      </c>
    </row>
    <row r="149" spans="1:5" ht="18.75" x14ac:dyDescent="0.3">
      <c r="A149" s="44" t="s">
        <v>136</v>
      </c>
      <c r="B149" s="44" t="s">
        <v>35</v>
      </c>
      <c r="C149" s="320">
        <v>149</v>
      </c>
      <c r="D149" s="44" t="s">
        <v>132</v>
      </c>
      <c r="E149" s="22" t="s">
        <v>338</v>
      </c>
    </row>
    <row r="150" spans="1:5" ht="18.75" x14ac:dyDescent="0.3">
      <c r="A150" s="44" t="s">
        <v>63</v>
      </c>
      <c r="B150" s="44" t="s">
        <v>245</v>
      </c>
      <c r="C150" s="320">
        <v>150</v>
      </c>
      <c r="D150" s="44" t="s">
        <v>761</v>
      </c>
      <c r="E150" s="22" t="s">
        <v>338</v>
      </c>
    </row>
    <row r="151" spans="1:5" ht="18.75" x14ac:dyDescent="0.3">
      <c r="A151" s="30" t="s">
        <v>218</v>
      </c>
      <c r="B151" s="30" t="s">
        <v>218</v>
      </c>
      <c r="C151" s="321">
        <v>151</v>
      </c>
      <c r="D151" s="30" t="s">
        <v>218</v>
      </c>
      <c r="E151" s="1" t="s">
        <v>218</v>
      </c>
    </row>
    <row r="152" spans="1:5" ht="18.75" x14ac:dyDescent="0.3">
      <c r="A152" s="44" t="s">
        <v>75</v>
      </c>
      <c r="B152" s="44" t="s">
        <v>355</v>
      </c>
      <c r="C152" s="320">
        <v>152</v>
      </c>
      <c r="D152" s="44" t="s">
        <v>197</v>
      </c>
      <c r="E152" s="22" t="s">
        <v>338</v>
      </c>
    </row>
    <row r="153" spans="1:5" ht="18.75" x14ac:dyDescent="0.3">
      <c r="A153" s="30" t="s">
        <v>218</v>
      </c>
      <c r="B153" s="30" t="s">
        <v>218</v>
      </c>
      <c r="C153" s="321">
        <v>153</v>
      </c>
      <c r="D153" s="30" t="s">
        <v>218</v>
      </c>
      <c r="E153" s="30" t="s">
        <v>218</v>
      </c>
    </row>
    <row r="154" spans="1:5" ht="18.75" x14ac:dyDescent="0.3">
      <c r="A154" s="30" t="s">
        <v>218</v>
      </c>
      <c r="B154" s="30" t="s">
        <v>218</v>
      </c>
      <c r="C154" s="321">
        <v>154</v>
      </c>
      <c r="D154" s="30" t="s">
        <v>218</v>
      </c>
      <c r="E154" s="30" t="s">
        <v>218</v>
      </c>
    </row>
    <row r="155" spans="1:5" ht="18.75" x14ac:dyDescent="0.3">
      <c r="A155" s="30" t="s">
        <v>218</v>
      </c>
      <c r="B155" s="30" t="s">
        <v>218</v>
      </c>
      <c r="C155" s="321">
        <v>155</v>
      </c>
      <c r="D155" s="30" t="s">
        <v>218</v>
      </c>
      <c r="E155" s="30" t="s">
        <v>218</v>
      </c>
    </row>
    <row r="156" spans="1:5" ht="18.75" x14ac:dyDescent="0.3">
      <c r="A156" s="30" t="s">
        <v>207</v>
      </c>
      <c r="B156" s="30" t="s">
        <v>1711</v>
      </c>
      <c r="C156" s="321">
        <v>156</v>
      </c>
      <c r="D156" s="30" t="s">
        <v>1712</v>
      </c>
      <c r="E156" s="1" t="s">
        <v>338</v>
      </c>
    </row>
    <row r="157" spans="1:5" ht="18.75" x14ac:dyDescent="0.3">
      <c r="A157" s="30" t="s">
        <v>218</v>
      </c>
      <c r="B157" s="30" t="s">
        <v>218</v>
      </c>
      <c r="C157" s="321">
        <v>157</v>
      </c>
      <c r="D157" s="30" t="s">
        <v>218</v>
      </c>
      <c r="E157" s="30" t="s">
        <v>218</v>
      </c>
    </row>
    <row r="158" spans="1:5" ht="18.75" x14ac:dyDescent="0.3">
      <c r="A158" s="30" t="s">
        <v>218</v>
      </c>
      <c r="B158" s="30" t="s">
        <v>218</v>
      </c>
      <c r="C158" s="321">
        <v>158</v>
      </c>
      <c r="D158" s="30" t="s">
        <v>218</v>
      </c>
      <c r="E158" s="30" t="s">
        <v>218</v>
      </c>
    </row>
    <row r="159" spans="1:5" ht="18.75" x14ac:dyDescent="0.3">
      <c r="A159" s="30" t="s">
        <v>218</v>
      </c>
      <c r="B159" s="30" t="s">
        <v>218</v>
      </c>
      <c r="C159" s="321">
        <v>159</v>
      </c>
      <c r="D159" s="30" t="s">
        <v>218</v>
      </c>
      <c r="E159" s="30" t="s">
        <v>218</v>
      </c>
    </row>
    <row r="160" spans="1:5" ht="18.75" x14ac:dyDescent="0.3">
      <c r="A160" s="44" t="s">
        <v>63</v>
      </c>
      <c r="B160" s="44" t="s">
        <v>45</v>
      </c>
      <c r="C160" s="320">
        <v>160</v>
      </c>
      <c r="D160" s="44" t="s">
        <v>343</v>
      </c>
      <c r="E160" s="22" t="s">
        <v>338</v>
      </c>
    </row>
    <row r="161" spans="1:5" ht="18.75" x14ac:dyDescent="0.3">
      <c r="A161" s="30" t="s">
        <v>218</v>
      </c>
      <c r="B161" s="30" t="s">
        <v>218</v>
      </c>
      <c r="C161" s="321">
        <v>161</v>
      </c>
      <c r="D161" s="30" t="s">
        <v>218</v>
      </c>
      <c r="E161" s="1" t="s">
        <v>218</v>
      </c>
    </row>
    <row r="162" spans="1:5" ht="18.75" x14ac:dyDescent="0.3">
      <c r="A162" s="44" t="s">
        <v>63</v>
      </c>
      <c r="B162" s="44" t="s">
        <v>1353</v>
      </c>
      <c r="C162" s="320">
        <v>162</v>
      </c>
      <c r="D162" s="44" t="s">
        <v>1576</v>
      </c>
      <c r="E162" s="22" t="s">
        <v>338</v>
      </c>
    </row>
    <row r="163" spans="1:5" ht="18.75" x14ac:dyDescent="0.3">
      <c r="A163" s="30" t="s">
        <v>218</v>
      </c>
      <c r="B163" s="30" t="s">
        <v>218</v>
      </c>
      <c r="C163" s="321">
        <v>163</v>
      </c>
      <c r="D163" s="30" t="s">
        <v>218</v>
      </c>
      <c r="E163" s="30" t="s">
        <v>218</v>
      </c>
    </row>
    <row r="164" spans="1:5" ht="18.75" x14ac:dyDescent="0.3">
      <c r="A164" s="30" t="s">
        <v>218</v>
      </c>
      <c r="B164" s="30" t="s">
        <v>218</v>
      </c>
      <c r="C164" s="321">
        <v>164</v>
      </c>
      <c r="D164" s="30" t="s">
        <v>218</v>
      </c>
      <c r="E164" s="30" t="s">
        <v>218</v>
      </c>
    </row>
    <row r="165" spans="1:5" ht="18.75" x14ac:dyDescent="0.3">
      <c r="A165" s="30" t="s">
        <v>218</v>
      </c>
      <c r="B165" s="30" t="s">
        <v>218</v>
      </c>
      <c r="C165" s="321">
        <v>165</v>
      </c>
      <c r="D165" s="30" t="s">
        <v>218</v>
      </c>
      <c r="E165" s="30" t="s">
        <v>218</v>
      </c>
    </row>
    <row r="166" spans="1:5" ht="18.75" x14ac:dyDescent="0.3">
      <c r="A166" s="30" t="s">
        <v>218</v>
      </c>
      <c r="B166" s="30" t="s">
        <v>218</v>
      </c>
      <c r="C166" s="321">
        <v>166</v>
      </c>
      <c r="D166" s="30" t="s">
        <v>218</v>
      </c>
      <c r="E166" s="30" t="s">
        <v>218</v>
      </c>
    </row>
    <row r="167" spans="1:5" ht="18.75" x14ac:dyDescent="0.3">
      <c r="A167" s="30" t="s">
        <v>218</v>
      </c>
      <c r="B167" s="30" t="s">
        <v>218</v>
      </c>
      <c r="C167" s="321">
        <v>167</v>
      </c>
      <c r="D167" s="30" t="s">
        <v>218</v>
      </c>
      <c r="E167" s="30" t="s">
        <v>218</v>
      </c>
    </row>
    <row r="168" spans="1:5" ht="18.75" x14ac:dyDescent="0.3">
      <c r="A168" s="30" t="s">
        <v>218</v>
      </c>
      <c r="B168" s="30" t="s">
        <v>218</v>
      </c>
      <c r="C168" s="321">
        <v>168</v>
      </c>
      <c r="D168" s="30" t="s">
        <v>218</v>
      </c>
      <c r="E168" s="30" t="s">
        <v>218</v>
      </c>
    </row>
    <row r="169" spans="1:5" ht="18.75" x14ac:dyDescent="0.3">
      <c r="A169" s="30" t="s">
        <v>218</v>
      </c>
      <c r="B169" s="30" t="s">
        <v>218</v>
      </c>
      <c r="C169" s="321">
        <v>169</v>
      </c>
      <c r="D169" s="30" t="s">
        <v>218</v>
      </c>
      <c r="E169" s="30" t="s">
        <v>218</v>
      </c>
    </row>
    <row r="170" spans="1:5" ht="18.75" x14ac:dyDescent="0.3">
      <c r="A170" s="44" t="s">
        <v>376</v>
      </c>
      <c r="B170" s="44" t="s">
        <v>545</v>
      </c>
      <c r="C170" s="320">
        <v>170</v>
      </c>
      <c r="D170" s="44" t="s">
        <v>225</v>
      </c>
      <c r="E170" s="22" t="s">
        <v>338</v>
      </c>
    </row>
    <row r="171" spans="1:5" ht="18.75" x14ac:dyDescent="0.3">
      <c r="A171" s="44" t="s">
        <v>569</v>
      </c>
      <c r="B171" s="44" t="s">
        <v>1055</v>
      </c>
      <c r="C171" s="320">
        <v>171</v>
      </c>
      <c r="D171" s="44" t="s">
        <v>377</v>
      </c>
      <c r="E171" s="22" t="s">
        <v>338</v>
      </c>
    </row>
    <row r="172" spans="1:5" ht="18.75" x14ac:dyDescent="0.3">
      <c r="A172" s="30" t="s">
        <v>218</v>
      </c>
      <c r="B172" s="30" t="s">
        <v>218</v>
      </c>
      <c r="C172" s="321">
        <v>172</v>
      </c>
      <c r="D172" s="30" t="s">
        <v>218</v>
      </c>
      <c r="E172" s="30" t="s">
        <v>218</v>
      </c>
    </row>
    <row r="173" spans="1:5" ht="18.75" x14ac:dyDescent="0.3">
      <c r="A173" s="30" t="s">
        <v>218</v>
      </c>
      <c r="B173" s="30" t="s">
        <v>218</v>
      </c>
      <c r="C173" s="321">
        <v>173</v>
      </c>
      <c r="D173" s="30" t="s">
        <v>218</v>
      </c>
      <c r="E173" s="30" t="s">
        <v>218</v>
      </c>
    </row>
    <row r="174" spans="1:5" ht="18.75" x14ac:dyDescent="0.3">
      <c r="A174" s="30" t="s">
        <v>218</v>
      </c>
      <c r="B174" s="30" t="s">
        <v>218</v>
      </c>
      <c r="C174" s="321">
        <v>174</v>
      </c>
      <c r="D174" s="30" t="s">
        <v>218</v>
      </c>
      <c r="E174" s="30" t="s">
        <v>218</v>
      </c>
    </row>
    <row r="175" spans="1:5" ht="18.75" x14ac:dyDescent="0.3">
      <c r="A175" s="44" t="s">
        <v>207</v>
      </c>
      <c r="B175" s="44" t="s">
        <v>172</v>
      </c>
      <c r="C175" s="320">
        <v>175</v>
      </c>
      <c r="D175" s="44" t="s">
        <v>14</v>
      </c>
      <c r="E175" s="22" t="s">
        <v>1575</v>
      </c>
    </row>
    <row r="176" spans="1:5" ht="18.75" x14ac:dyDescent="0.3">
      <c r="A176" s="44" t="s">
        <v>207</v>
      </c>
      <c r="B176" s="44" t="s">
        <v>158</v>
      </c>
      <c r="C176" s="320">
        <v>176</v>
      </c>
      <c r="D176" s="44" t="s">
        <v>159</v>
      </c>
      <c r="E176" s="22" t="s">
        <v>338</v>
      </c>
    </row>
    <row r="177" spans="1:5" ht="18.75" x14ac:dyDescent="0.3">
      <c r="A177" s="44" t="s">
        <v>207</v>
      </c>
      <c r="B177" s="44" t="s">
        <v>92</v>
      </c>
      <c r="C177" s="320">
        <v>177</v>
      </c>
      <c r="D177" s="44" t="s">
        <v>139</v>
      </c>
      <c r="E177" s="22" t="s">
        <v>338</v>
      </c>
    </row>
    <row r="178" spans="1:5" ht="18.75" x14ac:dyDescent="0.3">
      <c r="A178" s="44" t="s">
        <v>207</v>
      </c>
      <c r="B178" s="44" t="s">
        <v>1710</v>
      </c>
      <c r="C178" s="320">
        <v>178</v>
      </c>
      <c r="D178" s="44" t="s">
        <v>1709</v>
      </c>
      <c r="E178" s="22" t="s">
        <v>338</v>
      </c>
    </row>
    <row r="179" spans="1:5" ht="18.75" x14ac:dyDescent="0.3">
      <c r="A179" s="44" t="s">
        <v>207</v>
      </c>
      <c r="B179" s="44" t="s">
        <v>339</v>
      </c>
      <c r="C179" s="320">
        <v>179</v>
      </c>
      <c r="D179" s="44" t="s">
        <v>130</v>
      </c>
      <c r="E179" s="22" t="s">
        <v>338</v>
      </c>
    </row>
    <row r="180" spans="1:5" ht="18.75" x14ac:dyDescent="0.3">
      <c r="A180" s="44" t="s">
        <v>289</v>
      </c>
      <c r="B180" s="44" t="s">
        <v>676</v>
      </c>
      <c r="C180" s="320">
        <v>180</v>
      </c>
      <c r="D180" s="44" t="s">
        <v>96</v>
      </c>
      <c r="E180" s="22" t="s">
        <v>338</v>
      </c>
    </row>
    <row r="181" spans="1:5" ht="18.75" x14ac:dyDescent="0.3">
      <c r="A181" s="44" t="s">
        <v>75</v>
      </c>
      <c r="B181" s="44" t="s">
        <v>1345</v>
      </c>
      <c r="C181" s="320">
        <v>181</v>
      </c>
      <c r="D181" s="44" t="s">
        <v>113</v>
      </c>
      <c r="E181" s="22" t="s">
        <v>338</v>
      </c>
    </row>
    <row r="182" spans="1:5" ht="18.75" x14ac:dyDescent="0.3">
      <c r="A182" s="30" t="s">
        <v>218</v>
      </c>
      <c r="B182" s="30" t="s">
        <v>218</v>
      </c>
      <c r="C182" s="321">
        <v>182</v>
      </c>
      <c r="D182" s="30" t="s">
        <v>218</v>
      </c>
      <c r="E182" s="1" t="s">
        <v>218</v>
      </c>
    </row>
    <row r="183" spans="1:5" ht="18.75" x14ac:dyDescent="0.3">
      <c r="A183" s="44" t="s">
        <v>63</v>
      </c>
      <c r="B183" s="44" t="s">
        <v>1398</v>
      </c>
      <c r="C183" s="320">
        <v>183</v>
      </c>
      <c r="D183" s="44" t="s">
        <v>783</v>
      </c>
      <c r="E183" s="22" t="s">
        <v>338</v>
      </c>
    </row>
    <row r="184" spans="1:5" ht="18.75" x14ac:dyDescent="0.3">
      <c r="A184" s="41" t="s">
        <v>218</v>
      </c>
      <c r="B184" s="41" t="s">
        <v>218</v>
      </c>
      <c r="C184" s="319">
        <v>184</v>
      </c>
      <c r="D184" s="41" t="s">
        <v>218</v>
      </c>
      <c r="E184" s="25" t="s">
        <v>218</v>
      </c>
    </row>
    <row r="185" spans="1:5" ht="18.75" x14ac:dyDescent="0.3">
      <c r="A185" s="44" t="s">
        <v>75</v>
      </c>
      <c r="B185" s="44" t="s">
        <v>112</v>
      </c>
      <c r="C185" s="320">
        <v>185</v>
      </c>
      <c r="D185" s="44" t="s">
        <v>715</v>
      </c>
      <c r="E185" s="22" t="s">
        <v>338</v>
      </c>
    </row>
    <row r="186" spans="1:5" ht="18.75" x14ac:dyDescent="0.3">
      <c r="A186" s="30" t="s">
        <v>218</v>
      </c>
      <c r="B186" s="30" t="s">
        <v>218</v>
      </c>
      <c r="C186" s="321">
        <v>186</v>
      </c>
      <c r="D186" s="30" t="s">
        <v>218</v>
      </c>
      <c r="E186" s="1" t="s">
        <v>218</v>
      </c>
    </row>
    <row r="187" spans="1:5" ht="18.75" x14ac:dyDescent="0.3">
      <c r="A187" s="30" t="s">
        <v>218</v>
      </c>
      <c r="B187" s="30" t="s">
        <v>218</v>
      </c>
      <c r="C187" s="321">
        <v>187</v>
      </c>
      <c r="D187" s="30" t="s">
        <v>218</v>
      </c>
      <c r="E187" s="1" t="s">
        <v>218</v>
      </c>
    </row>
    <row r="188" spans="1:5" ht="18.75" x14ac:dyDescent="0.3">
      <c r="A188" s="30" t="s">
        <v>218</v>
      </c>
      <c r="B188" s="30" t="s">
        <v>218</v>
      </c>
      <c r="C188" s="321">
        <v>188</v>
      </c>
      <c r="D188" s="30" t="s">
        <v>218</v>
      </c>
      <c r="E188" s="1" t="s">
        <v>218</v>
      </c>
    </row>
    <row r="189" spans="1:5" ht="18.75" x14ac:dyDescent="0.3">
      <c r="A189" s="44" t="s">
        <v>63</v>
      </c>
      <c r="B189" s="44" t="s">
        <v>1352</v>
      </c>
      <c r="C189" s="320">
        <v>189</v>
      </c>
      <c r="D189" s="44" t="s">
        <v>500</v>
      </c>
      <c r="E189" s="22" t="s">
        <v>338</v>
      </c>
    </row>
    <row r="190" spans="1:5" ht="18.75" x14ac:dyDescent="0.3">
      <c r="A190" s="44" t="s">
        <v>104</v>
      </c>
      <c r="B190" s="44" t="s">
        <v>1339</v>
      </c>
      <c r="C190" s="320">
        <v>190</v>
      </c>
      <c r="D190" s="44" t="s">
        <v>14</v>
      </c>
      <c r="E190" s="22" t="s">
        <v>338</v>
      </c>
    </row>
    <row r="191" spans="1:5" ht="18.75" x14ac:dyDescent="0.3">
      <c r="A191" s="44" t="s">
        <v>289</v>
      </c>
      <c r="B191" s="44" t="s">
        <v>581</v>
      </c>
      <c r="C191" s="320">
        <v>191</v>
      </c>
      <c r="D191" s="44" t="s">
        <v>511</v>
      </c>
      <c r="E191" s="22" t="s">
        <v>338</v>
      </c>
    </row>
    <row r="192" spans="1:5" ht="18.75" x14ac:dyDescent="0.3">
      <c r="A192" s="30" t="s">
        <v>218</v>
      </c>
      <c r="B192" s="30" t="s">
        <v>218</v>
      </c>
      <c r="C192" s="321">
        <v>192</v>
      </c>
      <c r="D192" s="30" t="s">
        <v>218</v>
      </c>
      <c r="E192" s="1" t="s">
        <v>218</v>
      </c>
    </row>
    <row r="193" spans="1:5" ht="18.75" x14ac:dyDescent="0.3">
      <c r="A193" s="30" t="s">
        <v>218</v>
      </c>
      <c r="B193" s="30" t="s">
        <v>218</v>
      </c>
      <c r="C193" s="321">
        <v>193</v>
      </c>
      <c r="D193" s="30" t="s">
        <v>218</v>
      </c>
      <c r="E193" s="1" t="s">
        <v>218</v>
      </c>
    </row>
    <row r="194" spans="1:5" ht="18.75" x14ac:dyDescent="0.3">
      <c r="A194" s="30" t="s">
        <v>218</v>
      </c>
      <c r="B194" s="30" t="s">
        <v>218</v>
      </c>
      <c r="C194" s="321">
        <v>194</v>
      </c>
      <c r="D194" s="30" t="s">
        <v>218</v>
      </c>
      <c r="E194" s="1" t="s">
        <v>218</v>
      </c>
    </row>
    <row r="195" spans="1:5" ht="18.75" x14ac:dyDescent="0.3">
      <c r="A195" s="30" t="s">
        <v>218</v>
      </c>
      <c r="B195" s="30" t="s">
        <v>218</v>
      </c>
      <c r="C195" s="321">
        <v>195</v>
      </c>
      <c r="D195" s="30" t="s">
        <v>218</v>
      </c>
      <c r="E195" s="1" t="s">
        <v>218</v>
      </c>
    </row>
    <row r="196" spans="1:5" ht="18.75" x14ac:dyDescent="0.3">
      <c r="A196" s="30" t="s">
        <v>218</v>
      </c>
      <c r="B196" s="30" t="s">
        <v>218</v>
      </c>
      <c r="C196" s="321">
        <v>196</v>
      </c>
      <c r="D196" s="30" t="s">
        <v>218</v>
      </c>
      <c r="E196" s="1" t="s">
        <v>218</v>
      </c>
    </row>
    <row r="197" spans="1:5" ht="18.75" x14ac:dyDescent="0.3">
      <c r="A197" s="30" t="s">
        <v>218</v>
      </c>
      <c r="B197" s="30" t="s">
        <v>218</v>
      </c>
      <c r="C197" s="321">
        <v>197</v>
      </c>
      <c r="D197" s="30" t="s">
        <v>218</v>
      </c>
      <c r="E197" s="1" t="s">
        <v>218</v>
      </c>
    </row>
    <row r="198" spans="1:5" ht="18.75" x14ac:dyDescent="0.3">
      <c r="A198" s="30" t="s">
        <v>218</v>
      </c>
      <c r="B198" s="30" t="s">
        <v>218</v>
      </c>
      <c r="C198" s="321">
        <v>198</v>
      </c>
      <c r="D198" s="30" t="s">
        <v>218</v>
      </c>
      <c r="E198" s="1" t="s">
        <v>218</v>
      </c>
    </row>
    <row r="199" spans="1:5" ht="18.75" x14ac:dyDescent="0.3">
      <c r="A199" s="30" t="s">
        <v>218</v>
      </c>
      <c r="B199" s="30" t="s">
        <v>218</v>
      </c>
      <c r="C199" s="321">
        <v>199</v>
      </c>
      <c r="D199" s="30" t="s">
        <v>218</v>
      </c>
      <c r="E199" s="1" t="s">
        <v>218</v>
      </c>
    </row>
    <row r="200" spans="1:5" ht="18.75" x14ac:dyDescent="0.3">
      <c r="A200" s="30" t="s">
        <v>384</v>
      </c>
      <c r="B200" s="30" t="s">
        <v>240</v>
      </c>
      <c r="C200" s="321">
        <v>200</v>
      </c>
      <c r="D200" s="30" t="s">
        <v>377</v>
      </c>
      <c r="E200" s="1" t="s">
        <v>338</v>
      </c>
    </row>
    <row r="201" spans="1:5" ht="18.75" x14ac:dyDescent="0.3">
      <c r="A201" s="30" t="s">
        <v>385</v>
      </c>
      <c r="B201" s="30" t="s">
        <v>241</v>
      </c>
      <c r="C201" s="321">
        <v>201</v>
      </c>
      <c r="D201" s="30" t="s">
        <v>377</v>
      </c>
      <c r="E201" s="1" t="s">
        <v>338</v>
      </c>
    </row>
    <row r="202" spans="1:5" ht="18.75" x14ac:dyDescent="0.3">
      <c r="A202" s="30" t="s">
        <v>218</v>
      </c>
      <c r="B202" s="30" t="s">
        <v>218</v>
      </c>
      <c r="C202" s="321">
        <v>202</v>
      </c>
      <c r="D202" s="30" t="s">
        <v>218</v>
      </c>
      <c r="E202" s="30" t="s">
        <v>218</v>
      </c>
    </row>
    <row r="203" spans="1:5" ht="18.75" x14ac:dyDescent="0.3">
      <c r="A203" s="30" t="s">
        <v>218</v>
      </c>
      <c r="B203" s="30" t="s">
        <v>218</v>
      </c>
      <c r="C203" s="321">
        <v>203</v>
      </c>
      <c r="D203" s="30" t="s">
        <v>218</v>
      </c>
      <c r="E203" s="30" t="s">
        <v>218</v>
      </c>
    </row>
    <row r="204" spans="1:5" ht="18.75" x14ac:dyDescent="0.3">
      <c r="A204" s="30" t="s">
        <v>218</v>
      </c>
      <c r="B204" s="30" t="s">
        <v>218</v>
      </c>
      <c r="C204" s="321">
        <v>204</v>
      </c>
      <c r="D204" s="30" t="s">
        <v>218</v>
      </c>
      <c r="E204" s="30" t="s">
        <v>218</v>
      </c>
    </row>
    <row r="205" spans="1:5" ht="18.75" x14ac:dyDescent="0.3">
      <c r="A205" s="32" t="s">
        <v>220</v>
      </c>
      <c r="B205" s="32" t="s">
        <v>221</v>
      </c>
      <c r="C205" s="322">
        <v>205</v>
      </c>
      <c r="D205" s="32" t="s">
        <v>377</v>
      </c>
      <c r="E205" s="46" t="s">
        <v>338</v>
      </c>
    </row>
    <row r="206" spans="1:5" ht="18.75" x14ac:dyDescent="0.3">
      <c r="A206" s="32" t="s">
        <v>804</v>
      </c>
      <c r="B206" s="32" t="s">
        <v>221</v>
      </c>
      <c r="C206" s="322">
        <v>206</v>
      </c>
      <c r="D206" s="32" t="s">
        <v>377</v>
      </c>
      <c r="E206" s="46" t="s">
        <v>338</v>
      </c>
    </row>
    <row r="207" spans="1:5" ht="18.75" x14ac:dyDescent="0.3">
      <c r="A207" s="30" t="s">
        <v>218</v>
      </c>
      <c r="B207" s="30" t="s">
        <v>218</v>
      </c>
      <c r="C207" s="321">
        <v>207</v>
      </c>
      <c r="D207" s="30" t="s">
        <v>218</v>
      </c>
      <c r="E207" s="30" t="s">
        <v>218</v>
      </c>
    </row>
    <row r="208" spans="1:5" ht="18.75" x14ac:dyDescent="0.3">
      <c r="A208" s="30" t="s">
        <v>63</v>
      </c>
      <c r="B208" s="30" t="s">
        <v>313</v>
      </c>
      <c r="C208" s="321">
        <v>208</v>
      </c>
      <c r="D208" s="30" t="s">
        <v>549</v>
      </c>
      <c r="E208" s="1" t="s">
        <v>338</v>
      </c>
    </row>
    <row r="209" spans="1:5" ht="18.75" x14ac:dyDescent="0.3">
      <c r="A209" s="30" t="s">
        <v>218</v>
      </c>
      <c r="B209" s="30" t="s">
        <v>218</v>
      </c>
      <c r="C209" s="321">
        <v>209</v>
      </c>
      <c r="D209" s="30" t="s">
        <v>218</v>
      </c>
      <c r="E209" s="30" t="s">
        <v>218</v>
      </c>
    </row>
    <row r="210" spans="1:5" ht="18.75" x14ac:dyDescent="0.3">
      <c r="A210" s="32" t="s">
        <v>551</v>
      </c>
      <c r="B210" s="32" t="s">
        <v>93</v>
      </c>
      <c r="C210" s="322">
        <v>210</v>
      </c>
      <c r="D210" s="32" t="s">
        <v>159</v>
      </c>
      <c r="E210" s="46" t="s">
        <v>338</v>
      </c>
    </row>
    <row r="211" spans="1:5" ht="18.75" x14ac:dyDescent="0.3">
      <c r="A211" s="30" t="s">
        <v>218</v>
      </c>
      <c r="B211" s="30" t="s">
        <v>218</v>
      </c>
      <c r="C211" s="321">
        <v>211</v>
      </c>
      <c r="D211" s="30" t="s">
        <v>218</v>
      </c>
      <c r="E211" s="30" t="s">
        <v>218</v>
      </c>
    </row>
    <row r="212" spans="1:5" ht="18.75" x14ac:dyDescent="0.3">
      <c r="A212" s="30" t="s">
        <v>218</v>
      </c>
      <c r="B212" s="30" t="s">
        <v>218</v>
      </c>
      <c r="C212" s="321">
        <v>212</v>
      </c>
      <c r="D212" s="30" t="s">
        <v>218</v>
      </c>
      <c r="E212" s="30" t="s">
        <v>218</v>
      </c>
    </row>
    <row r="213" spans="1:5" ht="18.75" x14ac:dyDescent="0.3">
      <c r="A213" s="30" t="s">
        <v>218</v>
      </c>
      <c r="B213" s="30" t="s">
        <v>218</v>
      </c>
      <c r="C213" s="321">
        <v>213</v>
      </c>
      <c r="D213" s="30" t="s">
        <v>218</v>
      </c>
      <c r="E213" s="30" t="s">
        <v>218</v>
      </c>
    </row>
    <row r="214" spans="1:5" ht="18.75" x14ac:dyDescent="0.3">
      <c r="A214" s="30" t="s">
        <v>22</v>
      </c>
      <c r="B214" s="30" t="s">
        <v>79</v>
      </c>
      <c r="C214" s="321">
        <v>214</v>
      </c>
      <c r="D214" s="30" t="s">
        <v>674</v>
      </c>
      <c r="E214" s="30" t="s">
        <v>338</v>
      </c>
    </row>
    <row r="215" spans="1:5" ht="18.75" x14ac:dyDescent="0.3">
      <c r="A215" s="30" t="s">
        <v>63</v>
      </c>
      <c r="B215" s="30" t="s">
        <v>309</v>
      </c>
      <c r="C215" s="321">
        <v>215</v>
      </c>
      <c r="D215" s="30" t="s">
        <v>550</v>
      </c>
      <c r="E215" s="1" t="s">
        <v>338</v>
      </c>
    </row>
    <row r="216" spans="1:5" ht="18.75" x14ac:dyDescent="0.3">
      <c r="A216" s="30" t="s">
        <v>218</v>
      </c>
      <c r="B216" s="30" t="s">
        <v>218</v>
      </c>
      <c r="C216" s="321">
        <v>216</v>
      </c>
      <c r="D216" s="30" t="s">
        <v>218</v>
      </c>
      <c r="E216" s="30" t="s">
        <v>218</v>
      </c>
    </row>
    <row r="217" spans="1:5" ht="18.75" x14ac:dyDescent="0.3">
      <c r="A217" s="30" t="s">
        <v>218</v>
      </c>
      <c r="B217" s="30" t="s">
        <v>218</v>
      </c>
      <c r="C217" s="321">
        <v>217</v>
      </c>
      <c r="D217" s="30" t="s">
        <v>218</v>
      </c>
      <c r="E217" s="30" t="s">
        <v>218</v>
      </c>
    </row>
    <row r="218" spans="1:5" ht="18.75" x14ac:dyDescent="0.3">
      <c r="A218" s="30" t="s">
        <v>218</v>
      </c>
      <c r="B218" s="30" t="s">
        <v>218</v>
      </c>
      <c r="C218" s="321">
        <v>218</v>
      </c>
      <c r="D218" s="30" t="s">
        <v>218</v>
      </c>
      <c r="E218" s="30" t="s">
        <v>218</v>
      </c>
    </row>
    <row r="219" spans="1:5" ht="18.75" x14ac:dyDescent="0.3">
      <c r="A219" s="30" t="s">
        <v>218</v>
      </c>
      <c r="B219" s="30" t="s">
        <v>218</v>
      </c>
      <c r="C219" s="321">
        <v>219</v>
      </c>
      <c r="D219" s="30" t="s">
        <v>218</v>
      </c>
      <c r="E219" s="30" t="s">
        <v>218</v>
      </c>
    </row>
    <row r="220" spans="1:5" ht="18.75" x14ac:dyDescent="0.3">
      <c r="A220" s="32" t="s">
        <v>351</v>
      </c>
      <c r="B220" s="32" t="s">
        <v>680</v>
      </c>
      <c r="C220" s="322">
        <v>220</v>
      </c>
      <c r="D220" s="32" t="s">
        <v>203</v>
      </c>
      <c r="E220" s="32" t="s">
        <v>338</v>
      </c>
    </row>
    <row r="221" spans="1:5" ht="18.75" x14ac:dyDescent="0.3">
      <c r="A221" s="30" t="s">
        <v>346</v>
      </c>
      <c r="B221" s="30" t="s">
        <v>47</v>
      </c>
      <c r="C221" s="321">
        <v>221</v>
      </c>
      <c r="D221" s="30" t="s">
        <v>492</v>
      </c>
      <c r="E221" s="1" t="s">
        <v>338</v>
      </c>
    </row>
    <row r="222" spans="1:5" ht="18.75" x14ac:dyDescent="0.3">
      <c r="A222" s="30" t="s">
        <v>218</v>
      </c>
      <c r="B222" s="30" t="s">
        <v>218</v>
      </c>
      <c r="C222" s="321">
        <v>222</v>
      </c>
      <c r="D222" s="30" t="s">
        <v>218</v>
      </c>
      <c r="E222" s="1" t="s">
        <v>218</v>
      </c>
    </row>
    <row r="223" spans="1:5" ht="18.75" x14ac:dyDescent="0.3">
      <c r="A223" s="30" t="s">
        <v>218</v>
      </c>
      <c r="B223" s="30" t="s">
        <v>218</v>
      </c>
      <c r="C223" s="321">
        <v>223</v>
      </c>
      <c r="D223" s="30" t="s">
        <v>218</v>
      </c>
      <c r="E223" s="30" t="s">
        <v>218</v>
      </c>
    </row>
    <row r="224" spans="1:5" ht="18.75" x14ac:dyDescent="0.3">
      <c r="A224" s="30" t="s">
        <v>218</v>
      </c>
      <c r="B224" s="30" t="s">
        <v>218</v>
      </c>
      <c r="C224" s="321">
        <v>224</v>
      </c>
      <c r="D224" s="30" t="s">
        <v>218</v>
      </c>
      <c r="E224" s="30" t="s">
        <v>218</v>
      </c>
    </row>
    <row r="225" spans="1:5" ht="18.75" x14ac:dyDescent="0.3">
      <c r="A225" s="30" t="s">
        <v>218</v>
      </c>
      <c r="B225" s="30" t="s">
        <v>218</v>
      </c>
      <c r="C225" s="321">
        <v>225</v>
      </c>
      <c r="D225" s="30" t="s">
        <v>218</v>
      </c>
      <c r="E225" s="30" t="s">
        <v>218</v>
      </c>
    </row>
    <row r="226" spans="1:5" ht="18.75" x14ac:dyDescent="0.3">
      <c r="A226" s="30" t="s">
        <v>218</v>
      </c>
      <c r="B226" s="30" t="s">
        <v>218</v>
      </c>
      <c r="C226" s="321">
        <v>226</v>
      </c>
      <c r="D226" s="30" t="s">
        <v>218</v>
      </c>
      <c r="E226" s="30" t="s">
        <v>218</v>
      </c>
    </row>
    <row r="227" spans="1:5" ht="18.75" x14ac:dyDescent="0.3">
      <c r="A227" s="30" t="s">
        <v>218</v>
      </c>
      <c r="B227" s="30" t="s">
        <v>218</v>
      </c>
      <c r="C227" s="321">
        <v>227</v>
      </c>
      <c r="D227" s="30" t="s">
        <v>218</v>
      </c>
      <c r="E227" s="30" t="s">
        <v>218</v>
      </c>
    </row>
    <row r="228" spans="1:5" ht="18.75" x14ac:dyDescent="0.3">
      <c r="A228" s="30" t="s">
        <v>218</v>
      </c>
      <c r="B228" s="30" t="s">
        <v>218</v>
      </c>
      <c r="C228" s="321">
        <v>228</v>
      </c>
      <c r="D228" s="30" t="s">
        <v>218</v>
      </c>
      <c r="E228" s="30" t="s">
        <v>218</v>
      </c>
    </row>
    <row r="229" spans="1:5" ht="18.75" x14ac:dyDescent="0.3">
      <c r="A229" s="30" t="s">
        <v>75</v>
      </c>
      <c r="B229" s="30" t="s">
        <v>76</v>
      </c>
      <c r="C229" s="321">
        <v>229</v>
      </c>
      <c r="D229" s="30" t="s">
        <v>285</v>
      </c>
      <c r="E229" s="1" t="s">
        <v>338</v>
      </c>
    </row>
    <row r="230" spans="1:5" ht="18.75" x14ac:dyDescent="0.3">
      <c r="A230" s="30" t="s">
        <v>136</v>
      </c>
      <c r="B230" s="30" t="s">
        <v>690</v>
      </c>
      <c r="C230" s="321">
        <v>230</v>
      </c>
      <c r="D230" s="30" t="s">
        <v>691</v>
      </c>
      <c r="E230" s="1" t="s">
        <v>338</v>
      </c>
    </row>
    <row r="231" spans="1:5" ht="18.75" x14ac:dyDescent="0.3">
      <c r="A231" s="30" t="s">
        <v>218</v>
      </c>
      <c r="B231" s="30" t="s">
        <v>218</v>
      </c>
      <c r="C231" s="321">
        <v>231</v>
      </c>
      <c r="D231" s="30" t="s">
        <v>218</v>
      </c>
      <c r="E231" s="1" t="s">
        <v>218</v>
      </c>
    </row>
    <row r="232" spans="1:5" ht="18.75" x14ac:dyDescent="0.3">
      <c r="A232" s="30" t="s">
        <v>218</v>
      </c>
      <c r="B232" s="30" t="s">
        <v>218</v>
      </c>
      <c r="C232" s="321">
        <v>232</v>
      </c>
      <c r="D232" s="30" t="s">
        <v>218</v>
      </c>
      <c r="E232" s="1" t="s">
        <v>218</v>
      </c>
    </row>
    <row r="233" spans="1:5" ht="18.75" x14ac:dyDescent="0.3">
      <c r="A233" s="30" t="s">
        <v>218</v>
      </c>
      <c r="B233" s="30" t="s">
        <v>218</v>
      </c>
      <c r="C233" s="321">
        <v>233</v>
      </c>
      <c r="D233" s="30" t="s">
        <v>218</v>
      </c>
      <c r="E233" s="1" t="s">
        <v>218</v>
      </c>
    </row>
    <row r="234" spans="1:5" ht="18.75" x14ac:dyDescent="0.3">
      <c r="A234" s="30" t="s">
        <v>218</v>
      </c>
      <c r="B234" s="30" t="s">
        <v>218</v>
      </c>
      <c r="C234" s="321">
        <v>234</v>
      </c>
      <c r="D234" s="30" t="s">
        <v>218</v>
      </c>
      <c r="E234" s="1" t="s">
        <v>218</v>
      </c>
    </row>
    <row r="235" spans="1:5" ht="18.75" x14ac:dyDescent="0.3">
      <c r="A235" s="30" t="s">
        <v>218</v>
      </c>
      <c r="B235" s="30" t="s">
        <v>218</v>
      </c>
      <c r="C235" s="321">
        <v>235</v>
      </c>
      <c r="D235" s="30" t="s">
        <v>218</v>
      </c>
      <c r="E235" s="1" t="s">
        <v>218</v>
      </c>
    </row>
    <row r="236" spans="1:5" ht="18.75" x14ac:dyDescent="0.3">
      <c r="A236" s="30" t="s">
        <v>218</v>
      </c>
      <c r="B236" s="30" t="s">
        <v>218</v>
      </c>
      <c r="C236" s="321">
        <v>236</v>
      </c>
      <c r="D236" s="30" t="s">
        <v>218</v>
      </c>
      <c r="E236" s="1" t="s">
        <v>218</v>
      </c>
    </row>
    <row r="237" spans="1:5" ht="18.75" x14ac:dyDescent="0.3">
      <c r="A237" s="30" t="s">
        <v>218</v>
      </c>
      <c r="B237" s="30" t="s">
        <v>218</v>
      </c>
      <c r="C237" s="321">
        <v>237</v>
      </c>
      <c r="D237" s="30" t="s">
        <v>218</v>
      </c>
      <c r="E237" s="1" t="s">
        <v>218</v>
      </c>
    </row>
    <row r="238" spans="1:5" ht="18.75" x14ac:dyDescent="0.3">
      <c r="A238" s="32" t="s">
        <v>560</v>
      </c>
      <c r="B238" s="32" t="s">
        <v>172</v>
      </c>
      <c r="C238" s="322">
        <v>238</v>
      </c>
      <c r="D238" s="32" t="s">
        <v>171</v>
      </c>
      <c r="E238" s="46" t="s">
        <v>338</v>
      </c>
    </row>
    <row r="239" spans="1:5" ht="18.75" x14ac:dyDescent="0.3">
      <c r="A239" s="30" t="s">
        <v>218</v>
      </c>
      <c r="B239" s="30" t="s">
        <v>218</v>
      </c>
      <c r="C239" s="321">
        <v>239</v>
      </c>
      <c r="D239" s="30" t="s">
        <v>218</v>
      </c>
      <c r="E239" s="1" t="s">
        <v>218</v>
      </c>
    </row>
    <row r="240" spans="1:5" ht="18.75" x14ac:dyDescent="0.3">
      <c r="A240" s="30" t="s">
        <v>346</v>
      </c>
      <c r="B240" s="30" t="s">
        <v>9</v>
      </c>
      <c r="C240" s="321">
        <v>240</v>
      </c>
      <c r="D240" s="30" t="s">
        <v>349</v>
      </c>
      <c r="E240" s="1" t="s">
        <v>338</v>
      </c>
    </row>
    <row r="241" spans="1:5" ht="18.75" x14ac:dyDescent="0.3">
      <c r="A241" s="30" t="s">
        <v>218</v>
      </c>
      <c r="B241" s="30" t="s">
        <v>218</v>
      </c>
      <c r="C241" s="321">
        <v>241</v>
      </c>
      <c r="D241" s="30" t="s">
        <v>218</v>
      </c>
      <c r="E241" s="30" t="s">
        <v>218</v>
      </c>
    </row>
    <row r="242" spans="1:5" ht="18.75" x14ac:dyDescent="0.3">
      <c r="A242" s="30" t="s">
        <v>218</v>
      </c>
      <c r="B242" s="30" t="s">
        <v>218</v>
      </c>
      <c r="C242" s="321">
        <v>242</v>
      </c>
      <c r="D242" s="30" t="s">
        <v>218</v>
      </c>
      <c r="E242" s="30" t="s">
        <v>218</v>
      </c>
    </row>
    <row r="243" spans="1:5" ht="18.75" x14ac:dyDescent="0.3">
      <c r="A243" s="30" t="s">
        <v>218</v>
      </c>
      <c r="B243" s="30" t="s">
        <v>218</v>
      </c>
      <c r="C243" s="321">
        <v>243</v>
      </c>
      <c r="D243" s="30" t="s">
        <v>218</v>
      </c>
      <c r="E243" s="30" t="s">
        <v>218</v>
      </c>
    </row>
    <row r="244" spans="1:5" ht="18.75" x14ac:dyDescent="0.3">
      <c r="A244" s="30" t="s">
        <v>218</v>
      </c>
      <c r="B244" s="30" t="s">
        <v>218</v>
      </c>
      <c r="C244" s="321">
        <v>244</v>
      </c>
      <c r="D244" s="30" t="s">
        <v>218</v>
      </c>
      <c r="E244" s="30" t="s">
        <v>218</v>
      </c>
    </row>
    <row r="245" spans="1:5" ht="18.75" x14ac:dyDescent="0.3">
      <c r="A245" s="30" t="s">
        <v>218</v>
      </c>
      <c r="B245" s="30" t="s">
        <v>218</v>
      </c>
      <c r="C245" s="321">
        <v>245</v>
      </c>
      <c r="D245" s="30" t="s">
        <v>218</v>
      </c>
      <c r="E245" s="30" t="s">
        <v>218</v>
      </c>
    </row>
    <row r="246" spans="1:5" ht="18.75" x14ac:dyDescent="0.3">
      <c r="A246" s="30" t="s">
        <v>218</v>
      </c>
      <c r="B246" s="30" t="s">
        <v>218</v>
      </c>
      <c r="C246" s="321">
        <v>246</v>
      </c>
      <c r="D246" s="30" t="s">
        <v>218</v>
      </c>
      <c r="E246" s="30" t="s">
        <v>218</v>
      </c>
    </row>
    <row r="247" spans="1:5" ht="18.75" x14ac:dyDescent="0.3">
      <c r="A247" s="30" t="s">
        <v>218</v>
      </c>
      <c r="B247" s="30" t="s">
        <v>218</v>
      </c>
      <c r="C247" s="321">
        <v>247</v>
      </c>
      <c r="D247" s="30" t="s">
        <v>218</v>
      </c>
      <c r="E247" s="30" t="s">
        <v>218</v>
      </c>
    </row>
    <row r="248" spans="1:5" ht="18.75" x14ac:dyDescent="0.3">
      <c r="A248" s="30" t="s">
        <v>218</v>
      </c>
      <c r="B248" s="30" t="s">
        <v>218</v>
      </c>
      <c r="C248" s="321">
        <v>248</v>
      </c>
      <c r="D248" s="30" t="s">
        <v>218</v>
      </c>
      <c r="E248" s="30" t="s">
        <v>218</v>
      </c>
    </row>
    <row r="249" spans="1:5" ht="18.75" x14ac:dyDescent="0.3">
      <c r="A249" s="30" t="s">
        <v>218</v>
      </c>
      <c r="B249" s="30" t="s">
        <v>218</v>
      </c>
      <c r="C249" s="321">
        <v>249</v>
      </c>
      <c r="D249" s="30" t="s">
        <v>218</v>
      </c>
      <c r="E249" s="30" t="s">
        <v>218</v>
      </c>
    </row>
    <row r="250" spans="1:5" ht="18.75" x14ac:dyDescent="0.3">
      <c r="A250" s="30" t="s">
        <v>385</v>
      </c>
      <c r="B250" s="30" t="s">
        <v>241</v>
      </c>
      <c r="C250" s="321">
        <v>250</v>
      </c>
      <c r="D250" s="30" t="s">
        <v>340</v>
      </c>
      <c r="E250" s="1" t="s">
        <v>338</v>
      </c>
    </row>
    <row r="251" spans="1:5" x14ac:dyDescent="0.25">
      <c r="A251" s="31"/>
      <c r="B251" s="31"/>
      <c r="C251" s="318"/>
      <c r="D251" s="31"/>
      <c r="E251" s="1"/>
    </row>
  </sheetData>
  <sortState xmlns:xlrd2="http://schemas.microsoft.com/office/spreadsheetml/2017/richdata2" ref="B9:C176">
    <sortCondition ref="C9"/>
  </sortState>
  <mergeCells count="1">
    <mergeCell ref="A1:E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verticalDpi="300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A995-321B-418F-AA41-C76425AF9ACB}">
  <dimension ref="A1:G251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29.140625" customWidth="1"/>
    <col min="3" max="3" width="19.7109375" style="1" bestFit="1" customWidth="1"/>
    <col min="4" max="5" width="12.5703125" style="35" customWidth="1"/>
    <col min="6" max="6" width="21" bestFit="1" customWidth="1"/>
    <col min="7" max="7" width="18.7109375" customWidth="1"/>
  </cols>
  <sheetData>
    <row r="1" spans="1:7" x14ac:dyDescent="0.25">
      <c r="A1" s="451" t="s">
        <v>1644</v>
      </c>
      <c r="B1" s="451"/>
      <c r="C1" s="451"/>
      <c r="D1" s="451"/>
      <c r="E1" s="451"/>
      <c r="F1" s="451"/>
      <c r="G1" s="451"/>
    </row>
    <row r="2" spans="1:7" x14ac:dyDescent="0.25">
      <c r="A2" s="16" t="s">
        <v>198</v>
      </c>
      <c r="B2" s="383" t="s">
        <v>5</v>
      </c>
      <c r="C2" s="17" t="s">
        <v>3</v>
      </c>
      <c r="D2" s="16" t="s">
        <v>1645</v>
      </c>
      <c r="E2" s="16" t="s">
        <v>1646</v>
      </c>
      <c r="F2" s="16" t="s">
        <v>4</v>
      </c>
      <c r="G2" s="16" t="s">
        <v>217</v>
      </c>
    </row>
    <row r="3" spans="1:7" ht="18.75" x14ac:dyDescent="0.3">
      <c r="A3" s="41" t="s">
        <v>218</v>
      </c>
      <c r="B3" s="384">
        <v>1</v>
      </c>
      <c r="C3" s="41" t="e">
        <f>VLOOKUP(B3,Planilha4!$2:$81,16,FALSE)</f>
        <v>#N/A</v>
      </c>
      <c r="D3" s="319"/>
      <c r="E3" s="319"/>
      <c r="F3" s="41" t="s">
        <v>218</v>
      </c>
      <c r="G3" s="25" t="s">
        <v>218</v>
      </c>
    </row>
    <row r="4" spans="1:7" ht="18.75" x14ac:dyDescent="0.3">
      <c r="A4" s="41" t="s">
        <v>218</v>
      </c>
      <c r="B4" s="384">
        <v>2</v>
      </c>
      <c r="C4" s="41" t="s">
        <v>218</v>
      </c>
      <c r="D4" s="319"/>
      <c r="E4" s="319"/>
      <c r="F4" s="41" t="s">
        <v>218</v>
      </c>
      <c r="G4" s="25" t="s">
        <v>218</v>
      </c>
    </row>
    <row r="5" spans="1:7" ht="18.75" x14ac:dyDescent="0.3">
      <c r="A5" s="317" t="s">
        <v>546</v>
      </c>
      <c r="B5" s="385">
        <v>3</v>
      </c>
      <c r="C5" s="44" t="s">
        <v>547</v>
      </c>
      <c r="D5" s="320"/>
      <c r="E5" s="320"/>
      <c r="F5" s="44" t="s">
        <v>14</v>
      </c>
      <c r="G5" s="22" t="s">
        <v>338</v>
      </c>
    </row>
    <row r="6" spans="1:7" ht="18.75" x14ac:dyDescent="0.3">
      <c r="A6" s="317" t="s">
        <v>546</v>
      </c>
      <c r="B6" s="385">
        <v>4</v>
      </c>
      <c r="C6" s="44" t="s">
        <v>547</v>
      </c>
      <c r="D6" s="320"/>
      <c r="E6" s="320"/>
      <c r="F6" s="44" t="s">
        <v>14</v>
      </c>
      <c r="G6" s="22" t="s">
        <v>338</v>
      </c>
    </row>
    <row r="7" spans="1:7" ht="18.75" x14ac:dyDescent="0.3">
      <c r="A7" s="317" t="s">
        <v>546</v>
      </c>
      <c r="B7" s="385">
        <v>5</v>
      </c>
      <c r="C7" s="44" t="s">
        <v>547</v>
      </c>
      <c r="D7" s="320"/>
      <c r="E7" s="320"/>
      <c r="F7" s="44" t="s">
        <v>14</v>
      </c>
      <c r="G7" s="22" t="s">
        <v>338</v>
      </c>
    </row>
    <row r="8" spans="1:7" ht="18.75" x14ac:dyDescent="0.3">
      <c r="A8" s="41" t="s">
        <v>218</v>
      </c>
      <c r="B8" s="384">
        <v>6</v>
      </c>
      <c r="C8" s="41" t="s">
        <v>218</v>
      </c>
      <c r="D8" s="319"/>
      <c r="E8" s="319"/>
      <c r="F8" s="41" t="s">
        <v>218</v>
      </c>
      <c r="G8" s="25" t="s">
        <v>218</v>
      </c>
    </row>
    <row r="9" spans="1:7" ht="18.75" x14ac:dyDescent="0.3">
      <c r="A9" s="41" t="s">
        <v>218</v>
      </c>
      <c r="B9" s="384">
        <v>7</v>
      </c>
      <c r="C9" s="41" t="s">
        <v>218</v>
      </c>
      <c r="D9" s="319"/>
      <c r="E9" s="319"/>
      <c r="F9" s="41" t="s">
        <v>218</v>
      </c>
      <c r="G9" s="25" t="s">
        <v>218</v>
      </c>
    </row>
    <row r="10" spans="1:7" ht="18.75" x14ac:dyDescent="0.3">
      <c r="A10" s="30" t="s">
        <v>218</v>
      </c>
      <c r="B10" s="386">
        <v>8</v>
      </c>
      <c r="C10" s="30" t="s">
        <v>218</v>
      </c>
      <c r="D10" s="321"/>
      <c r="E10" s="321"/>
      <c r="F10" s="30" t="s">
        <v>218</v>
      </c>
      <c r="G10" s="1" t="s">
        <v>218</v>
      </c>
    </row>
    <row r="11" spans="1:7" ht="18.75" x14ac:dyDescent="0.3">
      <c r="A11" s="30" t="s">
        <v>218</v>
      </c>
      <c r="B11" s="386">
        <v>9</v>
      </c>
      <c r="C11" s="30" t="s">
        <v>218</v>
      </c>
      <c r="D11" s="321"/>
      <c r="E11" s="321"/>
      <c r="F11" s="30" t="s">
        <v>218</v>
      </c>
      <c r="G11" s="1" t="s">
        <v>218</v>
      </c>
    </row>
    <row r="12" spans="1:7" ht="18.75" x14ac:dyDescent="0.3">
      <c r="A12" s="30" t="s">
        <v>218</v>
      </c>
      <c r="B12" s="386">
        <v>10</v>
      </c>
      <c r="C12" s="30" t="s">
        <v>218</v>
      </c>
      <c r="D12" s="321"/>
      <c r="E12" s="321"/>
      <c r="F12" s="30" t="s">
        <v>218</v>
      </c>
      <c r="G12" s="1" t="s">
        <v>218</v>
      </c>
    </row>
    <row r="13" spans="1:7" ht="18.75" x14ac:dyDescent="0.3">
      <c r="A13" s="41" t="s">
        <v>218</v>
      </c>
      <c r="B13" s="384">
        <v>11</v>
      </c>
      <c r="C13" s="41" t="s">
        <v>218</v>
      </c>
      <c r="D13" s="319"/>
      <c r="E13" s="319"/>
      <c r="F13" s="41" t="s">
        <v>218</v>
      </c>
      <c r="G13" s="25" t="s">
        <v>218</v>
      </c>
    </row>
    <row r="14" spans="1:7" ht="18.75" x14ac:dyDescent="0.3">
      <c r="A14" s="44" t="s">
        <v>1219</v>
      </c>
      <c r="B14" s="385">
        <v>12</v>
      </c>
      <c r="C14" s="44" t="s">
        <v>1297</v>
      </c>
      <c r="D14" s="320"/>
      <c r="E14" s="320"/>
      <c r="F14" s="44" t="s">
        <v>345</v>
      </c>
      <c r="G14" s="22" t="s">
        <v>338</v>
      </c>
    </row>
    <row r="15" spans="1:7" ht="18.75" x14ac:dyDescent="0.3">
      <c r="A15" s="44" t="s">
        <v>1219</v>
      </c>
      <c r="B15" s="385">
        <v>13</v>
      </c>
      <c r="C15" s="44" t="s">
        <v>1305</v>
      </c>
      <c r="D15" s="320"/>
      <c r="E15" s="320"/>
      <c r="F15" s="44" t="s">
        <v>324</v>
      </c>
      <c r="G15" s="22" t="s">
        <v>338</v>
      </c>
    </row>
    <row r="16" spans="1:7" ht="18.75" x14ac:dyDescent="0.3">
      <c r="A16" s="44" t="s">
        <v>1219</v>
      </c>
      <c r="B16" s="385">
        <v>14</v>
      </c>
      <c r="C16" s="44" t="s">
        <v>1306</v>
      </c>
      <c r="D16" s="320"/>
      <c r="E16" s="320"/>
      <c r="F16" s="44" t="s">
        <v>200</v>
      </c>
      <c r="G16" s="22" t="s">
        <v>338</v>
      </c>
    </row>
    <row r="17" spans="1:7" ht="18.75" x14ac:dyDescent="0.3">
      <c r="A17" s="44" t="s">
        <v>1219</v>
      </c>
      <c r="B17" s="385">
        <v>15</v>
      </c>
      <c r="C17" s="44" t="s">
        <v>313</v>
      </c>
      <c r="D17" s="320"/>
      <c r="E17" s="320"/>
      <c r="F17" s="317" t="s">
        <v>554</v>
      </c>
      <c r="G17" s="22" t="s">
        <v>338</v>
      </c>
    </row>
    <row r="18" spans="1:7" ht="18.75" x14ac:dyDescent="0.3">
      <c r="A18" s="44" t="s">
        <v>1219</v>
      </c>
      <c r="B18" s="385">
        <v>16</v>
      </c>
      <c r="C18" s="44" t="s">
        <v>1310</v>
      </c>
      <c r="D18" s="320"/>
      <c r="E18" s="320"/>
      <c r="F18" s="44" t="s">
        <v>510</v>
      </c>
      <c r="G18" s="22" t="s">
        <v>338</v>
      </c>
    </row>
    <row r="19" spans="1:7" ht="18.75" x14ac:dyDescent="0.3">
      <c r="A19" s="44" t="s">
        <v>1219</v>
      </c>
      <c r="B19" s="385">
        <v>17</v>
      </c>
      <c r="C19" s="44" t="s">
        <v>1311</v>
      </c>
      <c r="D19" s="320"/>
      <c r="E19" s="320"/>
      <c r="F19" s="44" t="s">
        <v>999</v>
      </c>
      <c r="G19" s="22" t="s">
        <v>338</v>
      </c>
    </row>
    <row r="20" spans="1:7" ht="18.75" x14ac:dyDescent="0.3">
      <c r="A20" s="44" t="s">
        <v>1219</v>
      </c>
      <c r="B20" s="385">
        <v>18</v>
      </c>
      <c r="C20" s="44" t="s">
        <v>1312</v>
      </c>
      <c r="D20" s="320"/>
      <c r="E20" s="320"/>
      <c r="F20" s="44" t="s">
        <v>137</v>
      </c>
      <c r="G20" s="22" t="s">
        <v>338</v>
      </c>
    </row>
    <row r="21" spans="1:7" ht="18.75" x14ac:dyDescent="0.3">
      <c r="A21" s="44" t="s">
        <v>1219</v>
      </c>
      <c r="B21" s="385">
        <v>19</v>
      </c>
      <c r="C21" s="44" t="s">
        <v>1313</v>
      </c>
      <c r="D21" s="320"/>
      <c r="E21" s="320"/>
      <c r="F21" s="44" t="s">
        <v>1137</v>
      </c>
      <c r="G21" s="22" t="s">
        <v>338</v>
      </c>
    </row>
    <row r="22" spans="1:7" ht="18.75" x14ac:dyDescent="0.3">
      <c r="A22" s="44" t="s">
        <v>1219</v>
      </c>
      <c r="B22" s="385">
        <v>20</v>
      </c>
      <c r="C22" s="44" t="s">
        <v>1314</v>
      </c>
      <c r="D22" s="320"/>
      <c r="E22" s="320"/>
      <c r="F22" s="44" t="s">
        <v>244</v>
      </c>
      <c r="G22" s="22" t="s">
        <v>338</v>
      </c>
    </row>
    <row r="23" spans="1:7" ht="18.75" x14ac:dyDescent="0.3">
      <c r="A23" s="44" t="s">
        <v>1219</v>
      </c>
      <c r="B23" s="385">
        <v>21</v>
      </c>
      <c r="C23" s="44" t="s">
        <v>1338</v>
      </c>
      <c r="D23" s="320"/>
      <c r="E23" s="320"/>
      <c r="F23" s="44" t="s">
        <v>1028</v>
      </c>
      <c r="G23" s="44" t="s">
        <v>338</v>
      </c>
    </row>
    <row r="24" spans="1:7" ht="18.75" x14ac:dyDescent="0.3">
      <c r="A24" s="44" t="s">
        <v>1219</v>
      </c>
      <c r="B24" s="385">
        <v>22</v>
      </c>
      <c r="C24" s="44" t="s">
        <v>121</v>
      </c>
      <c r="D24" s="320"/>
      <c r="E24" s="320"/>
      <c r="F24" s="44" t="s">
        <v>202</v>
      </c>
      <c r="G24" s="44" t="s">
        <v>338</v>
      </c>
    </row>
    <row r="25" spans="1:7" ht="18.75" x14ac:dyDescent="0.3">
      <c r="A25" s="44" t="s">
        <v>1219</v>
      </c>
      <c r="B25" s="385">
        <v>23</v>
      </c>
      <c r="C25" s="44" t="s">
        <v>1489</v>
      </c>
      <c r="D25" s="320"/>
      <c r="E25" s="320"/>
      <c r="F25" s="44" t="s">
        <v>1440</v>
      </c>
      <c r="G25" s="44" t="s">
        <v>338</v>
      </c>
    </row>
    <row r="26" spans="1:7" ht="18.75" x14ac:dyDescent="0.3">
      <c r="A26" s="44" t="s">
        <v>1219</v>
      </c>
      <c r="B26" s="385">
        <v>24</v>
      </c>
      <c r="C26" s="44" t="s">
        <v>1532</v>
      </c>
      <c r="D26" s="320"/>
      <c r="E26" s="320"/>
      <c r="F26" s="44" t="s">
        <v>171</v>
      </c>
      <c r="G26" s="44" t="s">
        <v>338</v>
      </c>
    </row>
    <row r="27" spans="1:7" ht="18.75" x14ac:dyDescent="0.3">
      <c r="A27" s="30" t="s">
        <v>218</v>
      </c>
      <c r="B27" s="386">
        <v>25</v>
      </c>
      <c r="C27" s="30" t="s">
        <v>218</v>
      </c>
      <c r="D27" s="321"/>
      <c r="E27" s="321"/>
      <c r="F27" s="30" t="s">
        <v>218</v>
      </c>
      <c r="G27" s="1" t="s">
        <v>218</v>
      </c>
    </row>
    <row r="28" spans="1:7" ht="18.75" x14ac:dyDescent="0.3">
      <c r="A28" s="30" t="s">
        <v>218</v>
      </c>
      <c r="B28" s="386">
        <v>26</v>
      </c>
      <c r="C28" s="30" t="s">
        <v>218</v>
      </c>
      <c r="D28" s="321"/>
      <c r="E28" s="321"/>
      <c r="F28" s="30" t="s">
        <v>218</v>
      </c>
      <c r="G28" s="1" t="s">
        <v>218</v>
      </c>
    </row>
    <row r="29" spans="1:7" ht="18.75" x14ac:dyDescent="0.3">
      <c r="A29" s="30" t="s">
        <v>218</v>
      </c>
      <c r="B29" s="386">
        <v>27</v>
      </c>
      <c r="C29" s="30" t="s">
        <v>218</v>
      </c>
      <c r="D29" s="321"/>
      <c r="E29" s="321"/>
      <c r="F29" s="30" t="s">
        <v>218</v>
      </c>
      <c r="G29" s="1" t="s">
        <v>218</v>
      </c>
    </row>
    <row r="30" spans="1:7" ht="18.75" x14ac:dyDescent="0.3">
      <c r="A30" s="30" t="s">
        <v>218</v>
      </c>
      <c r="B30" s="386">
        <v>28</v>
      </c>
      <c r="C30" s="30" t="s">
        <v>218</v>
      </c>
      <c r="D30" s="321"/>
      <c r="E30" s="321"/>
      <c r="F30" s="30" t="s">
        <v>218</v>
      </c>
      <c r="G30" s="1" t="s">
        <v>218</v>
      </c>
    </row>
    <row r="31" spans="1:7" ht="18.75" x14ac:dyDescent="0.3">
      <c r="A31" s="30" t="s">
        <v>218</v>
      </c>
      <c r="B31" s="386">
        <v>29</v>
      </c>
      <c r="C31" s="30" t="s">
        <v>218</v>
      </c>
      <c r="D31" s="321"/>
      <c r="E31" s="321"/>
      <c r="F31" s="30" t="s">
        <v>218</v>
      </c>
      <c r="G31" s="1" t="s">
        <v>218</v>
      </c>
    </row>
    <row r="32" spans="1:7" ht="18.75" x14ac:dyDescent="0.3">
      <c r="A32" s="30" t="s">
        <v>218</v>
      </c>
      <c r="B32" s="386">
        <v>30</v>
      </c>
      <c r="C32" s="30" t="s">
        <v>218</v>
      </c>
      <c r="D32" s="321"/>
      <c r="E32" s="321"/>
      <c r="F32" s="30" t="s">
        <v>218</v>
      </c>
      <c r="G32" s="1" t="s">
        <v>218</v>
      </c>
    </row>
    <row r="33" spans="1:7" ht="18.75" x14ac:dyDescent="0.3">
      <c r="A33" s="30" t="s">
        <v>218</v>
      </c>
      <c r="B33" s="386">
        <v>31</v>
      </c>
      <c r="C33" s="30" t="s">
        <v>218</v>
      </c>
      <c r="D33" s="321"/>
      <c r="E33" s="321"/>
      <c r="F33" s="30" t="s">
        <v>218</v>
      </c>
      <c r="G33" s="1" t="s">
        <v>218</v>
      </c>
    </row>
    <row r="34" spans="1:7" ht="18.75" x14ac:dyDescent="0.3">
      <c r="A34" s="30" t="s">
        <v>218</v>
      </c>
      <c r="B34" s="386">
        <v>32</v>
      </c>
      <c r="C34" s="30" t="s">
        <v>218</v>
      </c>
      <c r="D34" s="321"/>
      <c r="E34" s="321"/>
      <c r="F34" s="30" t="s">
        <v>218</v>
      </c>
      <c r="G34" s="30" t="s">
        <v>218</v>
      </c>
    </row>
    <row r="35" spans="1:7" ht="18.75" x14ac:dyDescent="0.3">
      <c r="A35" s="30" t="s">
        <v>218</v>
      </c>
      <c r="B35" s="386">
        <v>33</v>
      </c>
      <c r="C35" s="30" t="s">
        <v>218</v>
      </c>
      <c r="D35" s="321"/>
      <c r="E35" s="321"/>
      <c r="F35" s="30" t="s">
        <v>218</v>
      </c>
      <c r="G35" s="30" t="s">
        <v>218</v>
      </c>
    </row>
    <row r="36" spans="1:7" ht="18.75" x14ac:dyDescent="0.3">
      <c r="A36" s="30" t="s">
        <v>218</v>
      </c>
      <c r="B36" s="386">
        <v>34</v>
      </c>
      <c r="C36" s="30" t="s">
        <v>218</v>
      </c>
      <c r="D36" s="321"/>
      <c r="E36" s="321"/>
      <c r="F36" s="30" t="s">
        <v>218</v>
      </c>
      <c r="G36" s="30" t="s">
        <v>218</v>
      </c>
    </row>
    <row r="37" spans="1:7" ht="18.75" x14ac:dyDescent="0.3">
      <c r="A37" s="30" t="s">
        <v>218</v>
      </c>
      <c r="B37" s="386">
        <v>35</v>
      </c>
      <c r="C37" s="30" t="s">
        <v>218</v>
      </c>
      <c r="D37" s="321"/>
      <c r="E37" s="321"/>
      <c r="F37" s="30" t="s">
        <v>218</v>
      </c>
      <c r="G37" s="1" t="s">
        <v>218</v>
      </c>
    </row>
    <row r="38" spans="1:7" ht="18.75" x14ac:dyDescent="0.3">
      <c r="A38" s="30" t="s">
        <v>218</v>
      </c>
      <c r="B38" s="386">
        <v>36</v>
      </c>
      <c r="C38" s="30" t="s">
        <v>218</v>
      </c>
      <c r="D38" s="321"/>
      <c r="E38" s="321"/>
      <c r="F38" s="30" t="s">
        <v>218</v>
      </c>
      <c r="G38" s="1" t="s">
        <v>218</v>
      </c>
    </row>
    <row r="39" spans="1:7" ht="18.75" x14ac:dyDescent="0.3">
      <c r="A39" s="30" t="s">
        <v>218</v>
      </c>
      <c r="B39" s="386">
        <v>37</v>
      </c>
      <c r="C39" s="30" t="s">
        <v>218</v>
      </c>
      <c r="D39" s="321"/>
      <c r="E39" s="321"/>
      <c r="F39" s="30" t="s">
        <v>218</v>
      </c>
      <c r="G39" s="1" t="s">
        <v>218</v>
      </c>
    </row>
    <row r="40" spans="1:7" ht="18.75" x14ac:dyDescent="0.3">
      <c r="A40" s="30" t="s">
        <v>218</v>
      </c>
      <c r="B40" s="386">
        <v>38</v>
      </c>
      <c r="C40" s="30" t="s">
        <v>218</v>
      </c>
      <c r="D40" s="321"/>
      <c r="E40" s="321"/>
      <c r="F40" s="30" t="s">
        <v>218</v>
      </c>
      <c r="G40" s="1" t="s">
        <v>218</v>
      </c>
    </row>
    <row r="41" spans="1:7" ht="18.75" x14ac:dyDescent="0.3">
      <c r="A41" s="30" t="s">
        <v>218</v>
      </c>
      <c r="B41" s="386">
        <v>39</v>
      </c>
      <c r="C41" s="30" t="s">
        <v>218</v>
      </c>
      <c r="D41" s="321"/>
      <c r="E41" s="321"/>
      <c r="F41" s="30" t="s">
        <v>218</v>
      </c>
      <c r="G41" s="1" t="s">
        <v>218</v>
      </c>
    </row>
    <row r="42" spans="1:7" ht="18.75" x14ac:dyDescent="0.3">
      <c r="A42" s="30" t="s">
        <v>218</v>
      </c>
      <c r="B42" s="386">
        <v>40</v>
      </c>
      <c r="C42" s="30" t="s">
        <v>218</v>
      </c>
      <c r="D42" s="321"/>
      <c r="E42" s="321"/>
      <c r="F42" s="30" t="s">
        <v>218</v>
      </c>
      <c r="G42" s="1" t="s">
        <v>218</v>
      </c>
    </row>
    <row r="43" spans="1:7" ht="18.75" x14ac:dyDescent="0.3">
      <c r="A43" s="30" t="s">
        <v>218</v>
      </c>
      <c r="B43" s="386">
        <v>41</v>
      </c>
      <c r="C43" s="30" t="s">
        <v>218</v>
      </c>
      <c r="D43" s="321"/>
      <c r="E43" s="321"/>
      <c r="F43" s="30" t="s">
        <v>218</v>
      </c>
      <c r="G43" s="1" t="s">
        <v>218</v>
      </c>
    </row>
    <row r="44" spans="1:7" ht="18.75" x14ac:dyDescent="0.3">
      <c r="A44" s="30" t="s">
        <v>218</v>
      </c>
      <c r="B44" s="386">
        <v>42</v>
      </c>
      <c r="C44" s="30" t="s">
        <v>218</v>
      </c>
      <c r="D44" s="321"/>
      <c r="E44" s="321"/>
      <c r="F44" s="30" t="s">
        <v>218</v>
      </c>
      <c r="G44" s="1" t="s">
        <v>218</v>
      </c>
    </row>
    <row r="45" spans="1:7" ht="18.75" x14ac:dyDescent="0.3">
      <c r="A45" s="30" t="s">
        <v>218</v>
      </c>
      <c r="B45" s="386">
        <v>43</v>
      </c>
      <c r="C45" s="30" t="s">
        <v>218</v>
      </c>
      <c r="D45" s="321"/>
      <c r="E45" s="321"/>
      <c r="F45" s="30" t="s">
        <v>218</v>
      </c>
      <c r="G45" s="1" t="s">
        <v>218</v>
      </c>
    </row>
    <row r="46" spans="1:7" ht="18.75" x14ac:dyDescent="0.3">
      <c r="A46" s="30" t="s">
        <v>218</v>
      </c>
      <c r="B46" s="386">
        <v>44</v>
      </c>
      <c r="C46" s="30" t="s">
        <v>218</v>
      </c>
      <c r="D46" s="321"/>
      <c r="E46" s="321"/>
      <c r="F46" s="30" t="s">
        <v>218</v>
      </c>
      <c r="G46" s="1" t="s">
        <v>218</v>
      </c>
    </row>
    <row r="47" spans="1:7" ht="18.75" x14ac:dyDescent="0.3">
      <c r="A47" s="30" t="s">
        <v>218</v>
      </c>
      <c r="B47" s="386">
        <v>45</v>
      </c>
      <c r="C47" s="30" t="s">
        <v>218</v>
      </c>
      <c r="D47" s="321"/>
      <c r="E47" s="321"/>
      <c r="F47" s="30" t="s">
        <v>218</v>
      </c>
      <c r="G47" s="1" t="s">
        <v>218</v>
      </c>
    </row>
    <row r="48" spans="1:7" ht="18.75" x14ac:dyDescent="0.3">
      <c r="A48" s="30" t="s">
        <v>218</v>
      </c>
      <c r="B48" s="386">
        <v>46</v>
      </c>
      <c r="C48" s="30" t="s">
        <v>218</v>
      </c>
      <c r="D48" s="321"/>
      <c r="E48" s="321"/>
      <c r="F48" s="30" t="s">
        <v>218</v>
      </c>
      <c r="G48" s="1" t="s">
        <v>218</v>
      </c>
    </row>
    <row r="49" spans="1:7" ht="18.75" x14ac:dyDescent="0.3">
      <c r="A49" s="30" t="s">
        <v>218</v>
      </c>
      <c r="B49" s="386">
        <v>47</v>
      </c>
      <c r="C49" s="30" t="s">
        <v>218</v>
      </c>
      <c r="D49" s="321"/>
      <c r="E49" s="321"/>
      <c r="F49" s="30" t="s">
        <v>218</v>
      </c>
      <c r="G49" s="1" t="s">
        <v>218</v>
      </c>
    </row>
    <row r="50" spans="1:7" ht="18.75" x14ac:dyDescent="0.3">
      <c r="A50" s="41" t="s">
        <v>218</v>
      </c>
      <c r="B50" s="384">
        <v>48</v>
      </c>
      <c r="C50" s="41" t="s">
        <v>218</v>
      </c>
      <c r="D50" s="319"/>
      <c r="E50" s="319"/>
      <c r="F50" s="41" t="s">
        <v>218</v>
      </c>
      <c r="G50" s="41" t="s">
        <v>218</v>
      </c>
    </row>
    <row r="51" spans="1:7" ht="18.75" x14ac:dyDescent="0.3">
      <c r="A51" s="41" t="s">
        <v>218</v>
      </c>
      <c r="B51" s="384">
        <v>49</v>
      </c>
      <c r="C51" s="41" t="s">
        <v>218</v>
      </c>
      <c r="D51" s="319"/>
      <c r="E51" s="319"/>
      <c r="F51" s="41" t="s">
        <v>218</v>
      </c>
      <c r="G51" s="41" t="s">
        <v>218</v>
      </c>
    </row>
    <row r="52" spans="1:7" ht="18.75" x14ac:dyDescent="0.3">
      <c r="A52" s="41" t="s">
        <v>218</v>
      </c>
      <c r="B52" s="386">
        <v>50</v>
      </c>
      <c r="C52" s="41" t="s">
        <v>218</v>
      </c>
      <c r="D52" s="321"/>
      <c r="E52" s="321"/>
      <c r="F52" s="41" t="s">
        <v>218</v>
      </c>
      <c r="G52" s="41" t="s">
        <v>218</v>
      </c>
    </row>
    <row r="53" spans="1:7" ht="18.75" x14ac:dyDescent="0.3">
      <c r="A53" s="41" t="s">
        <v>218</v>
      </c>
      <c r="B53" s="386">
        <v>51</v>
      </c>
      <c r="C53" s="41" t="s">
        <v>218</v>
      </c>
      <c r="D53" s="321"/>
      <c r="E53" s="321"/>
      <c r="F53" s="41" t="s">
        <v>218</v>
      </c>
      <c r="G53" s="41" t="s">
        <v>218</v>
      </c>
    </row>
    <row r="54" spans="1:7" ht="18.75" x14ac:dyDescent="0.3">
      <c r="A54" s="41" t="s">
        <v>218</v>
      </c>
      <c r="B54" s="384">
        <v>52</v>
      </c>
      <c r="C54" s="41" t="s">
        <v>218</v>
      </c>
      <c r="D54" s="319"/>
      <c r="E54" s="319"/>
      <c r="F54" s="41" t="s">
        <v>218</v>
      </c>
      <c r="G54" s="41" t="s">
        <v>218</v>
      </c>
    </row>
    <row r="55" spans="1:7" ht="18.75" x14ac:dyDescent="0.3">
      <c r="A55" s="41" t="s">
        <v>218</v>
      </c>
      <c r="B55" s="384">
        <v>53</v>
      </c>
      <c r="C55" s="41" t="s">
        <v>218</v>
      </c>
      <c r="D55" s="319"/>
      <c r="E55" s="319"/>
      <c r="F55" s="41" t="s">
        <v>218</v>
      </c>
      <c r="G55" s="41" t="s">
        <v>218</v>
      </c>
    </row>
    <row r="56" spans="1:7" ht="18.75" x14ac:dyDescent="0.3">
      <c r="A56" s="41" t="s">
        <v>218</v>
      </c>
      <c r="B56" s="384">
        <v>54</v>
      </c>
      <c r="C56" s="41" t="s">
        <v>218</v>
      </c>
      <c r="D56" s="319"/>
      <c r="E56" s="319"/>
      <c r="F56" s="41" t="s">
        <v>218</v>
      </c>
      <c r="G56" s="41" t="s">
        <v>218</v>
      </c>
    </row>
    <row r="57" spans="1:7" ht="18.75" x14ac:dyDescent="0.3">
      <c r="A57" s="41" t="s">
        <v>218</v>
      </c>
      <c r="B57" s="384">
        <v>55</v>
      </c>
      <c r="C57" s="41" t="s">
        <v>218</v>
      </c>
      <c r="D57" s="319"/>
      <c r="E57" s="319"/>
      <c r="F57" s="41" t="s">
        <v>218</v>
      </c>
      <c r="G57" s="41" t="s">
        <v>218</v>
      </c>
    </row>
    <row r="58" spans="1:7" ht="18.75" x14ac:dyDescent="0.3">
      <c r="A58" s="41" t="s">
        <v>218</v>
      </c>
      <c r="B58" s="384">
        <v>56</v>
      </c>
      <c r="C58" s="41" t="s">
        <v>218</v>
      </c>
      <c r="D58" s="319"/>
      <c r="E58" s="319"/>
      <c r="F58" s="41" t="s">
        <v>218</v>
      </c>
      <c r="G58" s="41" t="s">
        <v>218</v>
      </c>
    </row>
    <row r="59" spans="1:7" ht="18.75" x14ac:dyDescent="0.3">
      <c r="A59" s="41" t="s">
        <v>218</v>
      </c>
      <c r="B59" s="384">
        <v>57</v>
      </c>
      <c r="C59" s="41" t="s">
        <v>218</v>
      </c>
      <c r="D59" s="319"/>
      <c r="E59" s="319"/>
      <c r="F59" s="41" t="s">
        <v>218</v>
      </c>
      <c r="G59" s="41" t="s">
        <v>218</v>
      </c>
    </row>
    <row r="60" spans="1:7" ht="18.75" x14ac:dyDescent="0.3">
      <c r="A60" s="30" t="s">
        <v>218</v>
      </c>
      <c r="B60" s="386">
        <v>58</v>
      </c>
      <c r="C60" s="30" t="s">
        <v>218</v>
      </c>
      <c r="D60" s="321"/>
      <c r="E60" s="321"/>
      <c r="F60" s="30" t="s">
        <v>218</v>
      </c>
      <c r="G60" s="1" t="s">
        <v>218</v>
      </c>
    </row>
    <row r="61" spans="1:7" ht="18.75" x14ac:dyDescent="0.3">
      <c r="A61" s="44" t="s">
        <v>59</v>
      </c>
      <c r="B61" s="385">
        <v>59</v>
      </c>
      <c r="C61" s="44" t="s">
        <v>39</v>
      </c>
      <c r="D61" s="320"/>
      <c r="E61" s="320"/>
      <c r="F61" s="44" t="s">
        <v>186</v>
      </c>
      <c r="G61" s="22" t="s">
        <v>338</v>
      </c>
    </row>
    <row r="62" spans="1:7" ht="18.75" x14ac:dyDescent="0.3">
      <c r="A62" s="41" t="s">
        <v>218</v>
      </c>
      <c r="B62" s="384">
        <v>60</v>
      </c>
      <c r="C62" s="41" t="s">
        <v>218</v>
      </c>
      <c r="D62" s="319"/>
      <c r="E62" s="319"/>
      <c r="F62" s="41" t="s">
        <v>218</v>
      </c>
      <c r="G62" s="25" t="s">
        <v>218</v>
      </c>
    </row>
    <row r="63" spans="1:7" ht="18.75" x14ac:dyDescent="0.3">
      <c r="A63" s="30" t="s">
        <v>218</v>
      </c>
      <c r="B63" s="386">
        <v>61</v>
      </c>
      <c r="C63" s="30" t="s">
        <v>218</v>
      </c>
      <c r="D63" s="321"/>
      <c r="E63" s="321"/>
      <c r="F63" s="30" t="s">
        <v>218</v>
      </c>
      <c r="G63" s="1" t="s">
        <v>218</v>
      </c>
    </row>
    <row r="64" spans="1:7" ht="18.75" x14ac:dyDescent="0.3">
      <c r="A64" s="44" t="s">
        <v>63</v>
      </c>
      <c r="B64" s="385">
        <v>62</v>
      </c>
      <c r="C64" s="44" t="s">
        <v>314</v>
      </c>
      <c r="D64" s="320"/>
      <c r="E64" s="320"/>
      <c r="F64" s="44" t="s">
        <v>337</v>
      </c>
      <c r="G64" s="22" t="s">
        <v>338</v>
      </c>
    </row>
    <row r="65" spans="1:7" ht="18.75" x14ac:dyDescent="0.3">
      <c r="A65" s="44" t="s">
        <v>569</v>
      </c>
      <c r="B65" s="385">
        <v>63</v>
      </c>
      <c r="C65" s="44" t="s">
        <v>1052</v>
      </c>
      <c r="D65" s="320"/>
      <c r="E65" s="320"/>
      <c r="F65" s="44" t="s">
        <v>377</v>
      </c>
      <c r="G65" s="22" t="s">
        <v>338</v>
      </c>
    </row>
    <row r="66" spans="1:7" ht="18.75" x14ac:dyDescent="0.3">
      <c r="A66" s="44" t="s">
        <v>1053</v>
      </c>
      <c r="B66" s="385">
        <v>64</v>
      </c>
      <c r="C66" s="44" t="s">
        <v>1052</v>
      </c>
      <c r="D66" s="320"/>
      <c r="E66" s="320"/>
      <c r="F66" s="44" t="s">
        <v>1051</v>
      </c>
      <c r="G66" s="22" t="s">
        <v>338</v>
      </c>
    </row>
    <row r="67" spans="1:7" ht="18.75" x14ac:dyDescent="0.3">
      <c r="A67" s="44" t="s">
        <v>1053</v>
      </c>
      <c r="B67" s="385">
        <v>65</v>
      </c>
      <c r="C67" s="44" t="s">
        <v>1052</v>
      </c>
      <c r="D67" s="320"/>
      <c r="E67" s="320"/>
      <c r="F67" s="44" t="s">
        <v>80</v>
      </c>
      <c r="G67" s="22" t="s">
        <v>338</v>
      </c>
    </row>
    <row r="68" spans="1:7" ht="18.75" x14ac:dyDescent="0.3">
      <c r="A68" s="44" t="s">
        <v>1053</v>
      </c>
      <c r="B68" s="385">
        <v>66</v>
      </c>
      <c r="C68" s="44" t="s">
        <v>1052</v>
      </c>
      <c r="D68" s="320"/>
      <c r="E68" s="320"/>
      <c r="F68" s="44" t="s">
        <v>1056</v>
      </c>
      <c r="G68" s="22" t="s">
        <v>338</v>
      </c>
    </row>
    <row r="69" spans="1:7" ht="18.75" x14ac:dyDescent="0.3">
      <c r="A69" s="44" t="s">
        <v>1053</v>
      </c>
      <c r="B69" s="385">
        <v>67</v>
      </c>
      <c r="C69" s="44" t="s">
        <v>1052</v>
      </c>
      <c r="D69" s="320"/>
      <c r="E69" s="320"/>
      <c r="F69" s="44" t="s">
        <v>1057</v>
      </c>
      <c r="G69" s="22" t="s">
        <v>338</v>
      </c>
    </row>
    <row r="70" spans="1:7" ht="18.75" x14ac:dyDescent="0.3">
      <c r="A70" s="44" t="s">
        <v>1053</v>
      </c>
      <c r="B70" s="385">
        <v>68</v>
      </c>
      <c r="C70" s="44" t="s">
        <v>1052</v>
      </c>
      <c r="D70" s="320"/>
      <c r="E70" s="320"/>
      <c r="F70" s="44" t="s">
        <v>218</v>
      </c>
      <c r="G70" s="22" t="s">
        <v>338</v>
      </c>
    </row>
    <row r="71" spans="1:7" ht="18.75" x14ac:dyDescent="0.3">
      <c r="A71" s="44" t="s">
        <v>1053</v>
      </c>
      <c r="B71" s="385">
        <v>69</v>
      </c>
      <c r="C71" s="44" t="s">
        <v>1052</v>
      </c>
      <c r="D71" s="320"/>
      <c r="E71" s="320"/>
      <c r="F71" s="44" t="s">
        <v>1058</v>
      </c>
      <c r="G71" s="22" t="s">
        <v>338</v>
      </c>
    </row>
    <row r="72" spans="1:7" ht="18.75" x14ac:dyDescent="0.3">
      <c r="A72" s="30" t="s">
        <v>218</v>
      </c>
      <c r="B72" s="386">
        <v>70</v>
      </c>
      <c r="C72" s="30" t="s">
        <v>218</v>
      </c>
      <c r="D72" s="321"/>
      <c r="E72" s="321"/>
      <c r="F72" s="30" t="s">
        <v>218</v>
      </c>
      <c r="G72" s="1" t="s">
        <v>218</v>
      </c>
    </row>
    <row r="73" spans="1:7" ht="18.75" x14ac:dyDescent="0.3">
      <c r="A73" s="44" t="s">
        <v>119</v>
      </c>
      <c r="B73" s="385">
        <v>71</v>
      </c>
      <c r="C73" s="44" t="s">
        <v>41</v>
      </c>
      <c r="D73" s="320"/>
      <c r="E73" s="320"/>
      <c r="F73" s="44" t="s">
        <v>1439</v>
      </c>
      <c r="G73" s="22" t="s">
        <v>338</v>
      </c>
    </row>
    <row r="74" spans="1:7" ht="18.75" x14ac:dyDescent="0.3">
      <c r="A74" s="323" t="s">
        <v>1053</v>
      </c>
      <c r="B74" s="387">
        <v>72</v>
      </c>
      <c r="C74" s="323" t="s">
        <v>1052</v>
      </c>
      <c r="D74" s="324"/>
      <c r="E74" s="324"/>
      <c r="F74" s="323" t="s">
        <v>218</v>
      </c>
      <c r="G74" s="325" t="s">
        <v>218</v>
      </c>
    </row>
    <row r="75" spans="1:7" ht="18.75" x14ac:dyDescent="0.3">
      <c r="A75" s="323" t="s">
        <v>1053</v>
      </c>
      <c r="B75" s="387">
        <v>73</v>
      </c>
      <c r="C75" s="323" t="s">
        <v>1052</v>
      </c>
      <c r="D75" s="324"/>
      <c r="E75" s="324"/>
      <c r="F75" s="323" t="s">
        <v>218</v>
      </c>
      <c r="G75" s="325" t="s">
        <v>218</v>
      </c>
    </row>
    <row r="76" spans="1:7" ht="18.75" x14ac:dyDescent="0.3">
      <c r="A76" s="323" t="s">
        <v>1053</v>
      </c>
      <c r="B76" s="387">
        <v>74</v>
      </c>
      <c r="C76" s="323" t="s">
        <v>1052</v>
      </c>
      <c r="D76" s="324"/>
      <c r="E76" s="324"/>
      <c r="F76" s="323" t="s">
        <v>218</v>
      </c>
      <c r="G76" s="325" t="s">
        <v>218</v>
      </c>
    </row>
    <row r="77" spans="1:7" ht="18.75" x14ac:dyDescent="0.3">
      <c r="A77" s="30" t="s">
        <v>218</v>
      </c>
      <c r="B77" s="386">
        <v>75</v>
      </c>
      <c r="C77" s="30" t="s">
        <v>218</v>
      </c>
      <c r="D77" s="321"/>
      <c r="E77" s="321"/>
      <c r="F77" s="30" t="s">
        <v>218</v>
      </c>
      <c r="G77" s="1" t="s">
        <v>218</v>
      </c>
    </row>
    <row r="78" spans="1:7" ht="18.75" x14ac:dyDescent="0.3">
      <c r="A78" s="30" t="s">
        <v>218</v>
      </c>
      <c r="B78" s="386">
        <v>76</v>
      </c>
      <c r="C78" s="30" t="s">
        <v>218</v>
      </c>
      <c r="D78" s="321"/>
      <c r="E78" s="321"/>
      <c r="F78" s="30" t="s">
        <v>218</v>
      </c>
      <c r="G78" s="1" t="s">
        <v>218</v>
      </c>
    </row>
    <row r="79" spans="1:7" ht="18.75" x14ac:dyDescent="0.3">
      <c r="A79" s="30" t="s">
        <v>218</v>
      </c>
      <c r="B79" s="386">
        <v>77</v>
      </c>
      <c r="C79" s="30" t="s">
        <v>218</v>
      </c>
      <c r="D79" s="321"/>
      <c r="E79" s="321"/>
      <c r="F79" s="30" t="s">
        <v>218</v>
      </c>
      <c r="G79" s="1" t="s">
        <v>218</v>
      </c>
    </row>
    <row r="80" spans="1:7" ht="18.75" x14ac:dyDescent="0.3">
      <c r="A80" s="30" t="s">
        <v>218</v>
      </c>
      <c r="B80" s="386">
        <v>78</v>
      </c>
      <c r="C80" s="30" t="s">
        <v>218</v>
      </c>
      <c r="D80" s="321"/>
      <c r="E80" s="321"/>
      <c r="F80" s="30" t="s">
        <v>218</v>
      </c>
      <c r="G80" s="1" t="s">
        <v>218</v>
      </c>
    </row>
    <row r="81" spans="1:7" ht="18.75" x14ac:dyDescent="0.3">
      <c r="A81" s="30" t="s">
        <v>218</v>
      </c>
      <c r="B81" s="386">
        <v>79</v>
      </c>
      <c r="C81" s="30" t="s">
        <v>218</v>
      </c>
      <c r="D81" s="321"/>
      <c r="E81" s="321"/>
      <c r="F81" s="30" t="s">
        <v>218</v>
      </c>
      <c r="G81" s="30" t="s">
        <v>218</v>
      </c>
    </row>
    <row r="82" spans="1:7" ht="18.75" x14ac:dyDescent="0.3">
      <c r="A82" s="41" t="s">
        <v>218</v>
      </c>
      <c r="B82" s="384">
        <v>80</v>
      </c>
      <c r="C82" s="41" t="s">
        <v>218</v>
      </c>
      <c r="D82" s="319"/>
      <c r="E82" s="319"/>
      <c r="F82" s="41" t="s">
        <v>218</v>
      </c>
      <c r="G82" s="41" t="s">
        <v>218</v>
      </c>
    </row>
    <row r="83" spans="1:7" ht="18.75" x14ac:dyDescent="0.3">
      <c r="A83" s="317" t="s">
        <v>1519</v>
      </c>
      <c r="B83" s="385">
        <v>81</v>
      </c>
      <c r="C83" s="44" t="s">
        <v>178</v>
      </c>
      <c r="D83" s="320"/>
      <c r="E83" s="320"/>
      <c r="F83" s="44" t="s">
        <v>172</v>
      </c>
      <c r="G83" s="22" t="s">
        <v>338</v>
      </c>
    </row>
    <row r="84" spans="1:7" ht="18.75" x14ac:dyDescent="0.3">
      <c r="A84" s="44" t="s">
        <v>59</v>
      </c>
      <c r="B84" s="385">
        <v>82</v>
      </c>
      <c r="C84" s="44" t="s">
        <v>1362</v>
      </c>
      <c r="D84" s="320"/>
      <c r="E84" s="320"/>
      <c r="F84" s="44" t="s">
        <v>236</v>
      </c>
      <c r="G84" s="22" t="s">
        <v>338</v>
      </c>
    </row>
    <row r="85" spans="1:7" ht="18.75" x14ac:dyDescent="0.3">
      <c r="A85" s="30" t="s">
        <v>218</v>
      </c>
      <c r="B85" s="386">
        <v>83</v>
      </c>
      <c r="C85" s="30" t="s">
        <v>218</v>
      </c>
      <c r="D85" s="321"/>
      <c r="E85" s="321"/>
      <c r="F85" s="30" t="s">
        <v>218</v>
      </c>
      <c r="G85" s="30" t="s">
        <v>218</v>
      </c>
    </row>
    <row r="86" spans="1:7" ht="18.75" x14ac:dyDescent="0.3">
      <c r="A86" s="30" t="s">
        <v>218</v>
      </c>
      <c r="B86" s="386">
        <v>84</v>
      </c>
      <c r="C86" s="30" t="s">
        <v>218</v>
      </c>
      <c r="D86" s="321"/>
      <c r="E86" s="321"/>
      <c r="F86" s="30" t="s">
        <v>218</v>
      </c>
      <c r="G86" s="30" t="s">
        <v>218</v>
      </c>
    </row>
    <row r="87" spans="1:7" ht="18.75" x14ac:dyDescent="0.3">
      <c r="A87" s="30" t="s">
        <v>218</v>
      </c>
      <c r="B87" s="386">
        <v>85</v>
      </c>
      <c r="C87" s="30" t="s">
        <v>218</v>
      </c>
      <c r="D87" s="321"/>
      <c r="E87" s="321"/>
      <c r="F87" s="30" t="s">
        <v>218</v>
      </c>
      <c r="G87" s="30" t="s">
        <v>218</v>
      </c>
    </row>
    <row r="88" spans="1:7" ht="18.75" x14ac:dyDescent="0.3">
      <c r="A88" s="30" t="s">
        <v>218</v>
      </c>
      <c r="B88" s="386">
        <v>86</v>
      </c>
      <c r="C88" s="30" t="s">
        <v>218</v>
      </c>
      <c r="D88" s="321"/>
      <c r="E88" s="321"/>
      <c r="F88" s="30" t="s">
        <v>218</v>
      </c>
      <c r="G88" s="30" t="s">
        <v>218</v>
      </c>
    </row>
    <row r="89" spans="1:7" ht="18.75" x14ac:dyDescent="0.3">
      <c r="A89" s="30" t="s">
        <v>218</v>
      </c>
      <c r="B89" s="386">
        <v>87</v>
      </c>
      <c r="C89" s="30" t="s">
        <v>218</v>
      </c>
      <c r="D89" s="321"/>
      <c r="E89" s="321"/>
      <c r="F89" s="30" t="s">
        <v>218</v>
      </c>
      <c r="G89" s="30" t="s">
        <v>218</v>
      </c>
    </row>
    <row r="90" spans="1:7" ht="18.75" x14ac:dyDescent="0.3">
      <c r="A90" s="30" t="s">
        <v>218</v>
      </c>
      <c r="B90" s="386">
        <v>88</v>
      </c>
      <c r="C90" s="30" t="s">
        <v>218</v>
      </c>
      <c r="D90" s="321"/>
      <c r="E90" s="321"/>
      <c r="F90" s="30" t="s">
        <v>218</v>
      </c>
      <c r="G90" s="30" t="s">
        <v>218</v>
      </c>
    </row>
    <row r="91" spans="1:7" ht="18.75" x14ac:dyDescent="0.3">
      <c r="A91" s="30" t="s">
        <v>218</v>
      </c>
      <c r="B91" s="386">
        <v>89</v>
      </c>
      <c r="C91" s="30" t="s">
        <v>218</v>
      </c>
      <c r="D91" s="321"/>
      <c r="E91" s="321"/>
      <c r="F91" s="30" t="s">
        <v>218</v>
      </c>
      <c r="G91" s="30" t="s">
        <v>218</v>
      </c>
    </row>
    <row r="92" spans="1:7" ht="18.75" x14ac:dyDescent="0.3">
      <c r="A92" s="44" t="s">
        <v>569</v>
      </c>
      <c r="B92" s="385">
        <v>90</v>
      </c>
      <c r="C92" s="44" t="s">
        <v>1054</v>
      </c>
      <c r="D92" s="320"/>
      <c r="E92" s="320"/>
      <c r="F92" s="44" t="s">
        <v>377</v>
      </c>
      <c r="G92" s="22" t="s">
        <v>338</v>
      </c>
    </row>
    <row r="93" spans="1:7" ht="18.75" x14ac:dyDescent="0.3">
      <c r="A93" s="30" t="s">
        <v>218</v>
      </c>
      <c r="B93" s="386">
        <v>91</v>
      </c>
      <c r="C93" s="30" t="s">
        <v>218</v>
      </c>
      <c r="D93" s="321"/>
      <c r="E93" s="321"/>
      <c r="F93" s="30" t="s">
        <v>218</v>
      </c>
      <c r="G93" s="1" t="s">
        <v>218</v>
      </c>
    </row>
    <row r="94" spans="1:7" ht="18.75" x14ac:dyDescent="0.3">
      <c r="A94" s="30" t="s">
        <v>218</v>
      </c>
      <c r="B94" s="386">
        <v>92</v>
      </c>
      <c r="C94" s="30" t="s">
        <v>218</v>
      </c>
      <c r="D94" s="321"/>
      <c r="E94" s="321"/>
      <c r="F94" s="30" t="s">
        <v>218</v>
      </c>
      <c r="G94" s="1" t="s">
        <v>218</v>
      </c>
    </row>
    <row r="95" spans="1:7" ht="18.75" x14ac:dyDescent="0.3">
      <c r="A95" s="30" t="s">
        <v>218</v>
      </c>
      <c r="B95" s="386">
        <v>93</v>
      </c>
      <c r="C95" s="30" t="s">
        <v>218</v>
      </c>
      <c r="D95" s="321"/>
      <c r="E95" s="321"/>
      <c r="F95" s="30" t="s">
        <v>218</v>
      </c>
      <c r="G95" s="30" t="s">
        <v>218</v>
      </c>
    </row>
    <row r="96" spans="1:7" ht="18.75" x14ac:dyDescent="0.3">
      <c r="A96" s="30" t="s">
        <v>218</v>
      </c>
      <c r="B96" s="386">
        <v>94</v>
      </c>
      <c r="C96" s="30" t="s">
        <v>218</v>
      </c>
      <c r="D96" s="321"/>
      <c r="E96" s="321"/>
      <c r="F96" s="30" t="s">
        <v>218</v>
      </c>
      <c r="G96" s="30" t="s">
        <v>218</v>
      </c>
    </row>
    <row r="97" spans="1:7" ht="18.75" x14ac:dyDescent="0.3">
      <c r="A97" s="30" t="s">
        <v>218</v>
      </c>
      <c r="B97" s="386">
        <v>95</v>
      </c>
      <c r="C97" s="30" t="s">
        <v>218</v>
      </c>
      <c r="D97" s="321"/>
      <c r="E97" s="321"/>
      <c r="F97" s="30" t="s">
        <v>218</v>
      </c>
      <c r="G97" s="30" t="s">
        <v>218</v>
      </c>
    </row>
    <row r="98" spans="1:7" ht="18.75" x14ac:dyDescent="0.3">
      <c r="A98" s="44" t="s">
        <v>718</v>
      </c>
      <c r="B98" s="385">
        <v>96</v>
      </c>
      <c r="C98" s="44" t="s">
        <v>726</v>
      </c>
      <c r="D98" s="320"/>
      <c r="E98" s="320"/>
      <c r="F98" s="44" t="s">
        <v>549</v>
      </c>
      <c r="G98" s="44" t="s">
        <v>338</v>
      </c>
    </row>
    <row r="99" spans="1:7" ht="18.75" x14ac:dyDescent="0.3">
      <c r="A99" s="44" t="s">
        <v>718</v>
      </c>
      <c r="B99" s="385">
        <v>97</v>
      </c>
      <c r="C99" s="44" t="s">
        <v>95</v>
      </c>
      <c r="D99" s="320"/>
      <c r="E99" s="320"/>
      <c r="F99" s="44" t="s">
        <v>751</v>
      </c>
      <c r="G99" s="44" t="s">
        <v>338</v>
      </c>
    </row>
    <row r="100" spans="1:7" ht="18.75" x14ac:dyDescent="0.3">
      <c r="A100" s="44" t="s">
        <v>718</v>
      </c>
      <c r="B100" s="385">
        <v>98</v>
      </c>
      <c r="C100" s="44" t="s">
        <v>730</v>
      </c>
      <c r="D100" s="320"/>
      <c r="E100" s="320"/>
      <c r="F100" s="44" t="s">
        <v>134</v>
      </c>
      <c r="G100" s="44" t="s">
        <v>338</v>
      </c>
    </row>
    <row r="101" spans="1:7" ht="18.75" x14ac:dyDescent="0.3">
      <c r="A101" s="30" t="s">
        <v>218</v>
      </c>
      <c r="B101" s="386">
        <v>99</v>
      </c>
      <c r="C101" s="30" t="s">
        <v>218</v>
      </c>
      <c r="D101" s="321"/>
      <c r="E101" s="321"/>
      <c r="F101" s="30" t="s">
        <v>218</v>
      </c>
      <c r="G101" s="30" t="s">
        <v>218</v>
      </c>
    </row>
    <row r="102" spans="1:7" ht="18.75" x14ac:dyDescent="0.3">
      <c r="A102" s="44" t="s">
        <v>219</v>
      </c>
      <c r="B102" s="385">
        <v>100</v>
      </c>
      <c r="C102" s="44" t="s">
        <v>14</v>
      </c>
      <c r="D102" s="320"/>
      <c r="E102" s="320"/>
      <c r="F102" s="44" t="s">
        <v>14</v>
      </c>
      <c r="G102" s="22" t="s">
        <v>338</v>
      </c>
    </row>
    <row r="103" spans="1:7" ht="18.75" x14ac:dyDescent="0.3">
      <c r="A103" s="30" t="s">
        <v>218</v>
      </c>
      <c r="B103" s="386">
        <v>101</v>
      </c>
      <c r="C103" s="30" t="s">
        <v>218</v>
      </c>
      <c r="D103" s="321"/>
      <c r="E103" s="321"/>
      <c r="F103" s="30" t="s">
        <v>218</v>
      </c>
      <c r="G103" s="30" t="s">
        <v>218</v>
      </c>
    </row>
    <row r="104" spans="1:7" ht="18.75" x14ac:dyDescent="0.3">
      <c r="A104" s="30" t="s">
        <v>218</v>
      </c>
      <c r="B104" s="386">
        <v>102</v>
      </c>
      <c r="C104" s="30" t="s">
        <v>218</v>
      </c>
      <c r="D104" s="321"/>
      <c r="E104" s="321"/>
      <c r="F104" s="30" t="s">
        <v>218</v>
      </c>
      <c r="G104" s="30" t="s">
        <v>218</v>
      </c>
    </row>
    <row r="105" spans="1:7" ht="18.75" x14ac:dyDescent="0.3">
      <c r="A105" s="41" t="s">
        <v>218</v>
      </c>
      <c r="B105" s="384">
        <v>103</v>
      </c>
      <c r="C105" s="41" t="s">
        <v>218</v>
      </c>
      <c r="D105" s="319"/>
      <c r="E105" s="319"/>
      <c r="F105" s="41" t="s">
        <v>218</v>
      </c>
      <c r="G105" s="41" t="s">
        <v>218</v>
      </c>
    </row>
    <row r="106" spans="1:7" ht="18.75" x14ac:dyDescent="0.3">
      <c r="A106" s="41" t="s">
        <v>218</v>
      </c>
      <c r="B106" s="386">
        <v>104</v>
      </c>
      <c r="C106" s="41" t="s">
        <v>218</v>
      </c>
      <c r="D106" s="321"/>
      <c r="E106" s="321"/>
      <c r="F106" s="41" t="s">
        <v>218</v>
      </c>
      <c r="G106" s="41" t="s">
        <v>218</v>
      </c>
    </row>
    <row r="107" spans="1:7" ht="18.75" x14ac:dyDescent="0.3">
      <c r="A107" s="30" t="s">
        <v>218</v>
      </c>
      <c r="B107" s="386">
        <v>105</v>
      </c>
      <c r="C107" s="30" t="s">
        <v>218</v>
      </c>
      <c r="D107" s="321"/>
      <c r="E107" s="321"/>
      <c r="F107" s="30" t="s">
        <v>218</v>
      </c>
      <c r="G107" s="1" t="s">
        <v>218</v>
      </c>
    </row>
    <row r="108" spans="1:7" ht="18.75" x14ac:dyDescent="0.3">
      <c r="A108" s="44" t="s">
        <v>190</v>
      </c>
      <c r="B108" s="385">
        <v>106</v>
      </c>
      <c r="C108" s="44" t="s">
        <v>188</v>
      </c>
      <c r="D108" s="320"/>
      <c r="E108" s="320"/>
      <c r="F108" s="44" t="s">
        <v>14</v>
      </c>
      <c r="G108" s="22" t="s">
        <v>1575</v>
      </c>
    </row>
    <row r="109" spans="1:7" ht="18.75" x14ac:dyDescent="0.3">
      <c r="A109" s="44" t="s">
        <v>88</v>
      </c>
      <c r="B109" s="385">
        <v>107</v>
      </c>
      <c r="C109" s="44" t="s">
        <v>100</v>
      </c>
      <c r="D109" s="320"/>
      <c r="E109" s="320"/>
      <c r="F109" s="44" t="s">
        <v>548</v>
      </c>
      <c r="G109" s="22" t="s">
        <v>338</v>
      </c>
    </row>
    <row r="110" spans="1:7" ht="18.75" x14ac:dyDescent="0.3">
      <c r="A110" s="30" t="s">
        <v>218</v>
      </c>
      <c r="B110" s="386">
        <v>108</v>
      </c>
      <c r="C110" s="30" t="s">
        <v>218</v>
      </c>
      <c r="D110" s="321"/>
      <c r="E110" s="321"/>
      <c r="F110" s="30" t="s">
        <v>218</v>
      </c>
      <c r="G110" s="30" t="s">
        <v>218</v>
      </c>
    </row>
    <row r="111" spans="1:7" ht="18.75" x14ac:dyDescent="0.3">
      <c r="A111" s="30" t="s">
        <v>218</v>
      </c>
      <c r="B111" s="386">
        <v>109</v>
      </c>
      <c r="C111" s="30" t="s">
        <v>218</v>
      </c>
      <c r="D111" s="321"/>
      <c r="E111" s="321"/>
      <c r="F111" s="30" t="s">
        <v>218</v>
      </c>
      <c r="G111" s="30" t="s">
        <v>218</v>
      </c>
    </row>
    <row r="112" spans="1:7" ht="18.75" x14ac:dyDescent="0.3">
      <c r="A112" s="44" t="s">
        <v>346</v>
      </c>
      <c r="B112" s="385">
        <v>110</v>
      </c>
      <c r="C112" s="44" t="s">
        <v>224</v>
      </c>
      <c r="D112" s="320"/>
      <c r="E112" s="320"/>
      <c r="F112" s="44" t="s">
        <v>567</v>
      </c>
      <c r="G112" s="44" t="s">
        <v>338</v>
      </c>
    </row>
    <row r="113" spans="1:7" ht="18.75" x14ac:dyDescent="0.3">
      <c r="A113" s="30" t="s">
        <v>218</v>
      </c>
      <c r="B113" s="386">
        <v>111</v>
      </c>
      <c r="C113" s="30" t="s">
        <v>218</v>
      </c>
      <c r="D113" s="321"/>
      <c r="E113" s="321"/>
      <c r="F113" s="30" t="s">
        <v>218</v>
      </c>
      <c r="G113" s="30" t="s">
        <v>218</v>
      </c>
    </row>
    <row r="114" spans="1:7" ht="18.75" x14ac:dyDescent="0.3">
      <c r="A114" s="41" t="s">
        <v>218</v>
      </c>
      <c r="B114" s="384">
        <v>112</v>
      </c>
      <c r="C114" s="41" t="s">
        <v>218</v>
      </c>
      <c r="D114" s="319"/>
      <c r="E114" s="319"/>
      <c r="F114" s="41" t="s">
        <v>218</v>
      </c>
      <c r="G114" s="25" t="s">
        <v>218</v>
      </c>
    </row>
    <row r="115" spans="1:7" ht="18.75" x14ac:dyDescent="0.3">
      <c r="A115" s="44" t="s">
        <v>63</v>
      </c>
      <c r="B115" s="385">
        <v>113</v>
      </c>
      <c r="C115" s="44" t="s">
        <v>1351</v>
      </c>
      <c r="D115" s="320"/>
      <c r="E115" s="320"/>
      <c r="F115" s="44" t="s">
        <v>1349</v>
      </c>
      <c r="G115" s="22" t="s">
        <v>338</v>
      </c>
    </row>
    <row r="116" spans="1:7" ht="18.75" x14ac:dyDescent="0.3">
      <c r="A116" s="30" t="s">
        <v>104</v>
      </c>
      <c r="B116" s="386">
        <v>114</v>
      </c>
      <c r="C116" s="30" t="s">
        <v>1636</v>
      </c>
      <c r="D116" s="321"/>
      <c r="E116" s="321"/>
      <c r="F116" s="30" t="s">
        <v>1636</v>
      </c>
      <c r="G116" s="1" t="s">
        <v>1635</v>
      </c>
    </row>
    <row r="117" spans="1:7" ht="18.75" x14ac:dyDescent="0.3">
      <c r="A117" s="30" t="s">
        <v>218</v>
      </c>
      <c r="B117" s="386">
        <v>115</v>
      </c>
      <c r="C117" s="30" t="s">
        <v>218</v>
      </c>
      <c r="D117" s="321"/>
      <c r="E117" s="321"/>
      <c r="F117" s="30" t="s">
        <v>218</v>
      </c>
      <c r="G117" s="30" t="s">
        <v>218</v>
      </c>
    </row>
    <row r="118" spans="1:7" ht="18.75" x14ac:dyDescent="0.3">
      <c r="A118" s="30" t="s">
        <v>218</v>
      </c>
      <c r="B118" s="386">
        <v>116</v>
      </c>
      <c r="C118" s="30" t="s">
        <v>218</v>
      </c>
      <c r="D118" s="321"/>
      <c r="E118" s="321"/>
      <c r="F118" s="30" t="s">
        <v>218</v>
      </c>
      <c r="G118" s="30" t="s">
        <v>218</v>
      </c>
    </row>
    <row r="119" spans="1:7" ht="18.75" x14ac:dyDescent="0.3">
      <c r="A119" s="30" t="s">
        <v>218</v>
      </c>
      <c r="B119" s="386">
        <v>117</v>
      </c>
      <c r="C119" s="30" t="s">
        <v>218</v>
      </c>
      <c r="D119" s="321"/>
      <c r="E119" s="321"/>
      <c r="F119" s="30" t="s">
        <v>218</v>
      </c>
      <c r="G119" s="30" t="s">
        <v>218</v>
      </c>
    </row>
    <row r="120" spans="1:7" ht="18.75" x14ac:dyDescent="0.3">
      <c r="A120" s="30" t="s">
        <v>218</v>
      </c>
      <c r="B120" s="386">
        <v>118</v>
      </c>
      <c r="C120" s="30" t="s">
        <v>218</v>
      </c>
      <c r="D120" s="321"/>
      <c r="E120" s="321"/>
      <c r="F120" s="30" t="s">
        <v>218</v>
      </c>
      <c r="G120" s="30" t="s">
        <v>218</v>
      </c>
    </row>
    <row r="121" spans="1:7" ht="18.75" x14ac:dyDescent="0.3">
      <c r="A121" s="30" t="s">
        <v>218</v>
      </c>
      <c r="B121" s="386">
        <v>119</v>
      </c>
      <c r="C121" s="30" t="s">
        <v>218</v>
      </c>
      <c r="D121" s="321"/>
      <c r="E121" s="321"/>
      <c r="F121" s="30" t="s">
        <v>218</v>
      </c>
      <c r="G121" s="30" t="s">
        <v>218</v>
      </c>
    </row>
    <row r="122" spans="1:7" ht="18.75" x14ac:dyDescent="0.3">
      <c r="A122" s="30" t="s">
        <v>218</v>
      </c>
      <c r="B122" s="386">
        <v>120</v>
      </c>
      <c r="C122" s="30" t="s">
        <v>218</v>
      </c>
      <c r="D122" s="321"/>
      <c r="E122" s="321"/>
      <c r="F122" s="30" t="s">
        <v>218</v>
      </c>
      <c r="G122" s="30" t="s">
        <v>218</v>
      </c>
    </row>
    <row r="123" spans="1:7" ht="18.75" x14ac:dyDescent="0.3">
      <c r="A123" s="44" t="s">
        <v>59</v>
      </c>
      <c r="B123" s="385">
        <v>121</v>
      </c>
      <c r="C123" s="44" t="s">
        <v>60</v>
      </c>
      <c r="D123" s="320"/>
      <c r="E123" s="320"/>
      <c r="F123" s="44" t="s">
        <v>14</v>
      </c>
      <c r="G123" s="22" t="s">
        <v>1575</v>
      </c>
    </row>
    <row r="124" spans="1:7" ht="18.75" x14ac:dyDescent="0.3">
      <c r="A124" s="44" t="s">
        <v>59</v>
      </c>
      <c r="B124" s="385">
        <v>122</v>
      </c>
      <c r="C124" s="44" t="s">
        <v>154</v>
      </c>
      <c r="D124" s="320"/>
      <c r="E124" s="320"/>
      <c r="F124" s="44" t="s">
        <v>155</v>
      </c>
      <c r="G124" s="22" t="s">
        <v>338</v>
      </c>
    </row>
    <row r="125" spans="1:7" ht="18.75" x14ac:dyDescent="0.3">
      <c r="A125" s="30" t="s">
        <v>218</v>
      </c>
      <c r="B125" s="386">
        <v>123</v>
      </c>
      <c r="C125" s="30" t="s">
        <v>218</v>
      </c>
      <c r="D125" s="321"/>
      <c r="E125" s="321"/>
      <c r="F125" s="30" t="s">
        <v>218</v>
      </c>
      <c r="G125" s="1" t="s">
        <v>218</v>
      </c>
    </row>
    <row r="126" spans="1:7" ht="18.75" x14ac:dyDescent="0.3">
      <c r="A126" s="30" t="s">
        <v>218</v>
      </c>
      <c r="B126" s="386">
        <v>124</v>
      </c>
      <c r="C126" s="30" t="s">
        <v>218</v>
      </c>
      <c r="D126" s="321"/>
      <c r="E126" s="321"/>
      <c r="F126" s="30" t="s">
        <v>218</v>
      </c>
      <c r="G126" s="30" t="s">
        <v>218</v>
      </c>
    </row>
    <row r="127" spans="1:7" ht="18.75" x14ac:dyDescent="0.3">
      <c r="A127" s="44" t="s">
        <v>91</v>
      </c>
      <c r="B127" s="385">
        <v>125</v>
      </c>
      <c r="C127" s="44" t="s">
        <v>188</v>
      </c>
      <c r="D127" s="320"/>
      <c r="E127" s="320"/>
      <c r="F127" s="44" t="s">
        <v>1075</v>
      </c>
      <c r="G127" s="22" t="s">
        <v>338</v>
      </c>
    </row>
    <row r="128" spans="1:7" ht="18.75" x14ac:dyDescent="0.3">
      <c r="A128" s="30" t="s">
        <v>218</v>
      </c>
      <c r="B128" s="386">
        <v>126</v>
      </c>
      <c r="C128" s="30" t="s">
        <v>218</v>
      </c>
      <c r="D128" s="321"/>
      <c r="E128" s="321"/>
      <c r="F128" s="30" t="s">
        <v>218</v>
      </c>
      <c r="G128" s="30" t="s">
        <v>218</v>
      </c>
    </row>
    <row r="129" spans="1:7" ht="18.75" x14ac:dyDescent="0.3">
      <c r="A129" s="30" t="s">
        <v>218</v>
      </c>
      <c r="B129" s="386">
        <v>127</v>
      </c>
      <c r="C129" s="30" t="s">
        <v>218</v>
      </c>
      <c r="D129" s="321"/>
      <c r="E129" s="321"/>
      <c r="F129" s="30" t="s">
        <v>218</v>
      </c>
      <c r="G129" s="30" t="s">
        <v>218</v>
      </c>
    </row>
    <row r="130" spans="1:7" ht="18.75" x14ac:dyDescent="0.3">
      <c r="A130" s="44" t="s">
        <v>59</v>
      </c>
      <c r="B130" s="385">
        <v>128</v>
      </c>
      <c r="C130" s="44" t="s">
        <v>1361</v>
      </c>
      <c r="D130" s="320"/>
      <c r="E130" s="320"/>
      <c r="F130" s="44" t="s">
        <v>973</v>
      </c>
      <c r="G130" s="44" t="s">
        <v>338</v>
      </c>
    </row>
    <row r="131" spans="1:7" ht="18.75" x14ac:dyDescent="0.3">
      <c r="A131" s="30" t="s">
        <v>218</v>
      </c>
      <c r="B131" s="386">
        <v>129</v>
      </c>
      <c r="C131" s="30" t="s">
        <v>218</v>
      </c>
      <c r="D131" s="321"/>
      <c r="E131" s="321"/>
      <c r="F131" s="30" t="s">
        <v>218</v>
      </c>
      <c r="G131" s="30" t="s">
        <v>218</v>
      </c>
    </row>
    <row r="132" spans="1:7" ht="18.75" x14ac:dyDescent="0.3">
      <c r="A132" s="44" t="s">
        <v>63</v>
      </c>
      <c r="B132" s="385">
        <v>130</v>
      </c>
      <c r="C132" s="44" t="s">
        <v>755</v>
      </c>
      <c r="D132" s="320"/>
      <c r="E132" s="320"/>
      <c r="F132" s="44" t="s">
        <v>77</v>
      </c>
      <c r="G132" s="22" t="s">
        <v>338</v>
      </c>
    </row>
    <row r="133" spans="1:7" ht="18.75" x14ac:dyDescent="0.3">
      <c r="A133" s="30" t="s">
        <v>218</v>
      </c>
      <c r="B133" s="386">
        <v>131</v>
      </c>
      <c r="C133" s="30" t="s">
        <v>218</v>
      </c>
      <c r="D133" s="321"/>
      <c r="E133" s="321"/>
      <c r="F133" s="30" t="s">
        <v>218</v>
      </c>
      <c r="G133" s="1" t="s">
        <v>218</v>
      </c>
    </row>
    <row r="134" spans="1:7" ht="18.75" x14ac:dyDescent="0.3">
      <c r="A134" s="44" t="s">
        <v>187</v>
      </c>
      <c r="B134" s="385">
        <v>132</v>
      </c>
      <c r="C134" s="44" t="s">
        <v>151</v>
      </c>
      <c r="D134" s="320"/>
      <c r="E134" s="320"/>
      <c r="F134" s="44" t="s">
        <v>1136</v>
      </c>
      <c r="G134" s="22" t="s">
        <v>338</v>
      </c>
    </row>
    <row r="135" spans="1:7" ht="18.75" x14ac:dyDescent="0.3">
      <c r="A135" s="30" t="s">
        <v>218</v>
      </c>
      <c r="B135" s="386">
        <v>133</v>
      </c>
      <c r="C135" s="30" t="s">
        <v>218</v>
      </c>
      <c r="D135" s="321"/>
      <c r="E135" s="321"/>
      <c r="F135" s="30" t="s">
        <v>218</v>
      </c>
      <c r="G135" s="1" t="s">
        <v>218</v>
      </c>
    </row>
    <row r="136" spans="1:7" ht="18.75" x14ac:dyDescent="0.3">
      <c r="A136" s="30" t="s">
        <v>218</v>
      </c>
      <c r="B136" s="386">
        <v>134</v>
      </c>
      <c r="C136" s="30" t="s">
        <v>218</v>
      </c>
      <c r="D136" s="321"/>
      <c r="E136" s="321"/>
      <c r="F136" s="30" t="s">
        <v>218</v>
      </c>
      <c r="G136" s="1" t="s">
        <v>218</v>
      </c>
    </row>
    <row r="137" spans="1:7" ht="18.75" x14ac:dyDescent="0.3">
      <c r="A137" s="30" t="s">
        <v>218</v>
      </c>
      <c r="B137" s="386">
        <v>135</v>
      </c>
      <c r="C137" s="30" t="s">
        <v>218</v>
      </c>
      <c r="D137" s="321"/>
      <c r="E137" s="321"/>
      <c r="F137" s="30" t="s">
        <v>218</v>
      </c>
      <c r="G137" s="1" t="s">
        <v>218</v>
      </c>
    </row>
    <row r="138" spans="1:7" ht="18.75" x14ac:dyDescent="0.3">
      <c r="A138" s="41" t="s">
        <v>218</v>
      </c>
      <c r="B138" s="384">
        <v>136</v>
      </c>
      <c r="C138" s="41" t="s">
        <v>218</v>
      </c>
      <c r="D138" s="319"/>
      <c r="E138" s="319"/>
      <c r="F138" s="41" t="s">
        <v>218</v>
      </c>
      <c r="G138" s="25" t="s">
        <v>218</v>
      </c>
    </row>
    <row r="139" spans="1:7" ht="18.75" x14ac:dyDescent="0.3">
      <c r="A139" s="30" t="s">
        <v>218</v>
      </c>
      <c r="B139" s="386">
        <v>139</v>
      </c>
      <c r="C139" s="30" t="s">
        <v>218</v>
      </c>
      <c r="D139" s="321"/>
      <c r="E139" s="321"/>
      <c r="F139" s="30" t="s">
        <v>218</v>
      </c>
      <c r="G139" s="1" t="s">
        <v>218</v>
      </c>
    </row>
    <row r="140" spans="1:7" ht="18.75" x14ac:dyDescent="0.3">
      <c r="A140" s="44" t="s">
        <v>1222</v>
      </c>
      <c r="B140" s="385">
        <v>140</v>
      </c>
      <c r="C140" s="44" t="s">
        <v>904</v>
      </c>
      <c r="D140" s="320"/>
      <c r="E140" s="320"/>
      <c r="F140" s="44" t="s">
        <v>1223</v>
      </c>
      <c r="G140" s="22" t="s">
        <v>338</v>
      </c>
    </row>
    <row r="141" spans="1:7" ht="18.75" x14ac:dyDescent="0.3">
      <c r="A141" s="44" t="s">
        <v>1222</v>
      </c>
      <c r="B141" s="385">
        <v>141</v>
      </c>
      <c r="C141" s="44" t="s">
        <v>1224</v>
      </c>
      <c r="D141" s="320"/>
      <c r="E141" s="320"/>
      <c r="F141" s="44" t="s">
        <v>80</v>
      </c>
      <c r="G141" s="22" t="s">
        <v>338</v>
      </c>
    </row>
    <row r="142" spans="1:7" ht="18.75" x14ac:dyDescent="0.3">
      <c r="A142" s="44" t="s">
        <v>1222</v>
      </c>
      <c r="B142" s="385">
        <v>142</v>
      </c>
      <c r="C142" s="44" t="s">
        <v>1225</v>
      </c>
      <c r="D142" s="320"/>
      <c r="E142" s="320"/>
      <c r="F142" s="44" t="s">
        <v>1226</v>
      </c>
      <c r="G142" s="22" t="s">
        <v>338</v>
      </c>
    </row>
    <row r="143" spans="1:7" ht="18.75" x14ac:dyDescent="0.3">
      <c r="A143" s="44" t="s">
        <v>1567</v>
      </c>
      <c r="B143" s="385">
        <v>143</v>
      </c>
      <c r="C143" s="44" t="s">
        <v>1568</v>
      </c>
      <c r="D143" s="320"/>
      <c r="E143" s="320"/>
      <c r="F143" s="44" t="s">
        <v>14</v>
      </c>
      <c r="G143" s="44" t="s">
        <v>338</v>
      </c>
    </row>
    <row r="144" spans="1:7" ht="18.75" x14ac:dyDescent="0.3">
      <c r="A144" s="30" t="s">
        <v>218</v>
      </c>
      <c r="B144" s="386">
        <v>144</v>
      </c>
      <c r="C144" s="30" t="s">
        <v>218</v>
      </c>
      <c r="D144" s="321"/>
      <c r="E144" s="321"/>
      <c r="F144" s="30" t="s">
        <v>218</v>
      </c>
      <c r="G144" s="30" t="s">
        <v>218</v>
      </c>
    </row>
    <row r="145" spans="1:7" ht="18.75" x14ac:dyDescent="0.3">
      <c r="A145" s="30" t="s">
        <v>218</v>
      </c>
      <c r="B145" s="386">
        <v>145</v>
      </c>
      <c r="C145" s="30" t="s">
        <v>218</v>
      </c>
      <c r="D145" s="321"/>
      <c r="E145" s="321"/>
      <c r="F145" s="30" t="s">
        <v>218</v>
      </c>
      <c r="G145" s="30" t="s">
        <v>218</v>
      </c>
    </row>
    <row r="146" spans="1:7" ht="18.75" x14ac:dyDescent="0.3">
      <c r="A146" s="44" t="s">
        <v>289</v>
      </c>
      <c r="B146" s="385">
        <v>146</v>
      </c>
      <c r="C146" s="44" t="s">
        <v>125</v>
      </c>
      <c r="D146" s="320"/>
      <c r="E146" s="320"/>
      <c r="F146" s="44" t="s">
        <v>127</v>
      </c>
      <c r="G146" s="22" t="s">
        <v>338</v>
      </c>
    </row>
    <row r="147" spans="1:7" ht="18.75" x14ac:dyDescent="0.3">
      <c r="A147" s="44" t="s">
        <v>289</v>
      </c>
      <c r="B147" s="385">
        <v>147</v>
      </c>
      <c r="C147" s="44" t="s">
        <v>34</v>
      </c>
      <c r="D147" s="320"/>
      <c r="E147" s="320"/>
      <c r="F147" s="44" t="s">
        <v>239</v>
      </c>
      <c r="G147" s="22" t="s">
        <v>338</v>
      </c>
    </row>
    <row r="148" spans="1:7" ht="18.75" x14ac:dyDescent="0.3">
      <c r="A148" s="44" t="s">
        <v>289</v>
      </c>
      <c r="B148" s="385">
        <v>148</v>
      </c>
      <c r="C148" s="44" t="s">
        <v>319</v>
      </c>
      <c r="D148" s="320"/>
      <c r="E148" s="320"/>
      <c r="F148" s="44" t="s">
        <v>237</v>
      </c>
      <c r="G148" s="22" t="s">
        <v>338</v>
      </c>
    </row>
    <row r="149" spans="1:7" ht="18.75" x14ac:dyDescent="0.3">
      <c r="A149" s="44" t="s">
        <v>136</v>
      </c>
      <c r="B149" s="385">
        <v>149</v>
      </c>
      <c r="C149" s="44" t="s">
        <v>35</v>
      </c>
      <c r="D149" s="320"/>
      <c r="E149" s="320"/>
      <c r="F149" s="44" t="s">
        <v>142</v>
      </c>
      <c r="G149" s="22" t="s">
        <v>338</v>
      </c>
    </row>
    <row r="150" spans="1:7" ht="18.75" x14ac:dyDescent="0.3">
      <c r="A150" s="44" t="s">
        <v>63</v>
      </c>
      <c r="B150" s="385">
        <v>150</v>
      </c>
      <c r="C150" s="44" t="s">
        <v>245</v>
      </c>
      <c r="D150" s="320"/>
      <c r="E150" s="320"/>
      <c r="F150" s="44" t="s">
        <v>761</v>
      </c>
      <c r="G150" s="22" t="s">
        <v>338</v>
      </c>
    </row>
    <row r="151" spans="1:7" ht="18.75" x14ac:dyDescent="0.3">
      <c r="A151" s="30" t="s">
        <v>218</v>
      </c>
      <c r="B151" s="386">
        <v>151</v>
      </c>
      <c r="C151" s="30" t="s">
        <v>218</v>
      </c>
      <c r="D151" s="321"/>
      <c r="E151" s="321"/>
      <c r="F151" s="30" t="s">
        <v>218</v>
      </c>
      <c r="G151" s="1" t="s">
        <v>218</v>
      </c>
    </row>
    <row r="152" spans="1:7" ht="18.75" x14ac:dyDescent="0.3">
      <c r="A152" s="44" t="s">
        <v>75</v>
      </c>
      <c r="B152" s="385">
        <v>152</v>
      </c>
      <c r="C152" s="44" t="s">
        <v>355</v>
      </c>
      <c r="D152" s="320"/>
      <c r="E152" s="320"/>
      <c r="F152" s="44" t="s">
        <v>197</v>
      </c>
      <c r="G152" s="22" t="s">
        <v>338</v>
      </c>
    </row>
    <row r="153" spans="1:7" ht="18.75" x14ac:dyDescent="0.3">
      <c r="A153" s="30" t="s">
        <v>218</v>
      </c>
      <c r="B153" s="386">
        <v>153</v>
      </c>
      <c r="C153" s="30" t="s">
        <v>218</v>
      </c>
      <c r="D153" s="321"/>
      <c r="E153" s="321"/>
      <c r="F153" s="30" t="s">
        <v>218</v>
      </c>
      <c r="G153" s="30" t="s">
        <v>218</v>
      </c>
    </row>
    <row r="154" spans="1:7" ht="18.75" x14ac:dyDescent="0.3">
      <c r="A154" s="30" t="s">
        <v>218</v>
      </c>
      <c r="B154" s="386">
        <v>154</v>
      </c>
      <c r="C154" s="30" t="s">
        <v>218</v>
      </c>
      <c r="D154" s="321"/>
      <c r="E154" s="321"/>
      <c r="F154" s="30" t="s">
        <v>218</v>
      </c>
      <c r="G154" s="30" t="s">
        <v>218</v>
      </c>
    </row>
    <row r="155" spans="1:7" ht="18.75" x14ac:dyDescent="0.3">
      <c r="A155" s="30" t="s">
        <v>218</v>
      </c>
      <c r="B155" s="386">
        <v>155</v>
      </c>
      <c r="C155" s="30" t="s">
        <v>218</v>
      </c>
      <c r="D155" s="321"/>
      <c r="E155" s="321"/>
      <c r="F155" s="30" t="s">
        <v>218</v>
      </c>
      <c r="G155" s="30" t="s">
        <v>218</v>
      </c>
    </row>
    <row r="156" spans="1:7" ht="18.75" x14ac:dyDescent="0.3">
      <c r="A156" s="30" t="s">
        <v>218</v>
      </c>
      <c r="B156" s="386">
        <v>156</v>
      </c>
      <c r="C156" s="30" t="s">
        <v>218</v>
      </c>
      <c r="D156" s="321"/>
      <c r="E156" s="321"/>
      <c r="F156" s="30" t="s">
        <v>218</v>
      </c>
      <c r="G156" s="30" t="s">
        <v>218</v>
      </c>
    </row>
    <row r="157" spans="1:7" ht="18.75" x14ac:dyDescent="0.3">
      <c r="A157" s="30" t="s">
        <v>218</v>
      </c>
      <c r="B157" s="386">
        <v>157</v>
      </c>
      <c r="C157" s="30" t="s">
        <v>218</v>
      </c>
      <c r="D157" s="321"/>
      <c r="E157" s="321"/>
      <c r="F157" s="30" t="s">
        <v>218</v>
      </c>
      <c r="G157" s="30" t="s">
        <v>218</v>
      </c>
    </row>
    <row r="158" spans="1:7" ht="18.75" x14ac:dyDescent="0.3">
      <c r="A158" s="30" t="s">
        <v>218</v>
      </c>
      <c r="B158" s="386">
        <v>158</v>
      </c>
      <c r="C158" s="30" t="s">
        <v>218</v>
      </c>
      <c r="D158" s="321"/>
      <c r="E158" s="321"/>
      <c r="F158" s="30" t="s">
        <v>218</v>
      </c>
      <c r="G158" s="30" t="s">
        <v>218</v>
      </c>
    </row>
    <row r="159" spans="1:7" ht="18.75" x14ac:dyDescent="0.3">
      <c r="A159" s="30" t="s">
        <v>218</v>
      </c>
      <c r="B159" s="386">
        <v>159</v>
      </c>
      <c r="C159" s="30" t="s">
        <v>218</v>
      </c>
      <c r="D159" s="321"/>
      <c r="E159" s="321"/>
      <c r="F159" s="30" t="s">
        <v>218</v>
      </c>
      <c r="G159" s="30" t="s">
        <v>218</v>
      </c>
    </row>
    <row r="160" spans="1:7" ht="18.75" x14ac:dyDescent="0.3">
      <c r="A160" s="44" t="s">
        <v>63</v>
      </c>
      <c r="B160" s="385">
        <v>160</v>
      </c>
      <c r="C160" s="44" t="s">
        <v>45</v>
      </c>
      <c r="D160" s="320"/>
      <c r="E160" s="320"/>
      <c r="F160" s="44" t="s">
        <v>343</v>
      </c>
      <c r="G160" s="22" t="s">
        <v>338</v>
      </c>
    </row>
    <row r="161" spans="1:7" ht="18.75" x14ac:dyDescent="0.3">
      <c r="A161" s="30" t="s">
        <v>218</v>
      </c>
      <c r="B161" s="386">
        <v>161</v>
      </c>
      <c r="C161" s="30" t="s">
        <v>218</v>
      </c>
      <c r="D161" s="321"/>
      <c r="E161" s="321"/>
      <c r="F161" s="30" t="s">
        <v>218</v>
      </c>
      <c r="G161" s="1" t="s">
        <v>218</v>
      </c>
    </row>
    <row r="162" spans="1:7" ht="18.75" x14ac:dyDescent="0.3">
      <c r="A162" s="44" t="s">
        <v>63</v>
      </c>
      <c r="B162" s="385">
        <v>162</v>
      </c>
      <c r="C162" s="44" t="s">
        <v>1353</v>
      </c>
      <c r="D162" s="320"/>
      <c r="E162" s="320"/>
      <c r="F162" s="44" t="s">
        <v>1576</v>
      </c>
      <c r="G162" s="22" t="s">
        <v>338</v>
      </c>
    </row>
    <row r="163" spans="1:7" ht="18.75" x14ac:dyDescent="0.3">
      <c r="A163" s="30" t="s">
        <v>218</v>
      </c>
      <c r="B163" s="386">
        <v>163</v>
      </c>
      <c r="C163" s="30" t="s">
        <v>218</v>
      </c>
      <c r="D163" s="321"/>
      <c r="E163" s="321"/>
      <c r="F163" s="30" t="s">
        <v>218</v>
      </c>
      <c r="G163" s="30" t="s">
        <v>218</v>
      </c>
    </row>
    <row r="164" spans="1:7" ht="18.75" x14ac:dyDescent="0.3">
      <c r="A164" s="30" t="s">
        <v>218</v>
      </c>
      <c r="B164" s="386">
        <v>164</v>
      </c>
      <c r="C164" s="30" t="s">
        <v>218</v>
      </c>
      <c r="D164" s="321"/>
      <c r="E164" s="321"/>
      <c r="F164" s="30" t="s">
        <v>218</v>
      </c>
      <c r="G164" s="30" t="s">
        <v>218</v>
      </c>
    </row>
    <row r="165" spans="1:7" ht="18.75" x14ac:dyDescent="0.3">
      <c r="A165" s="30" t="s">
        <v>218</v>
      </c>
      <c r="B165" s="386">
        <v>165</v>
      </c>
      <c r="C165" s="30" t="s">
        <v>218</v>
      </c>
      <c r="D165" s="321"/>
      <c r="E165" s="321"/>
      <c r="F165" s="30" t="s">
        <v>218</v>
      </c>
      <c r="G165" s="30" t="s">
        <v>218</v>
      </c>
    </row>
    <row r="166" spans="1:7" ht="18.75" x14ac:dyDescent="0.3">
      <c r="A166" s="30" t="s">
        <v>218</v>
      </c>
      <c r="B166" s="386">
        <v>166</v>
      </c>
      <c r="C166" s="30" t="s">
        <v>218</v>
      </c>
      <c r="D166" s="321"/>
      <c r="E166" s="321"/>
      <c r="F166" s="30" t="s">
        <v>218</v>
      </c>
      <c r="G166" s="30" t="s">
        <v>218</v>
      </c>
    </row>
    <row r="167" spans="1:7" ht="18.75" x14ac:dyDescent="0.3">
      <c r="A167" s="30" t="s">
        <v>218</v>
      </c>
      <c r="B167" s="386">
        <v>167</v>
      </c>
      <c r="C167" s="30" t="s">
        <v>218</v>
      </c>
      <c r="D167" s="321"/>
      <c r="E167" s="321"/>
      <c r="F167" s="30" t="s">
        <v>218</v>
      </c>
      <c r="G167" s="30" t="s">
        <v>218</v>
      </c>
    </row>
    <row r="168" spans="1:7" ht="18.75" x14ac:dyDescent="0.3">
      <c r="A168" s="30" t="s">
        <v>218</v>
      </c>
      <c r="B168" s="386">
        <v>168</v>
      </c>
      <c r="C168" s="30" t="s">
        <v>218</v>
      </c>
      <c r="D168" s="321"/>
      <c r="E168" s="321"/>
      <c r="F168" s="30" t="s">
        <v>218</v>
      </c>
      <c r="G168" s="30" t="s">
        <v>218</v>
      </c>
    </row>
    <row r="169" spans="1:7" ht="18.75" x14ac:dyDescent="0.3">
      <c r="A169" s="30" t="s">
        <v>218</v>
      </c>
      <c r="B169" s="386">
        <v>169</v>
      </c>
      <c r="C169" s="30" t="s">
        <v>218</v>
      </c>
      <c r="D169" s="321"/>
      <c r="E169" s="321"/>
      <c r="F169" s="30" t="s">
        <v>218</v>
      </c>
      <c r="G169" s="30" t="s">
        <v>218</v>
      </c>
    </row>
    <row r="170" spans="1:7" ht="18.75" x14ac:dyDescent="0.3">
      <c r="A170" s="44" t="s">
        <v>376</v>
      </c>
      <c r="B170" s="385">
        <v>170</v>
      </c>
      <c r="C170" s="44" t="s">
        <v>545</v>
      </c>
      <c r="D170" s="320"/>
      <c r="E170" s="320"/>
      <c r="F170" s="44" t="s">
        <v>225</v>
      </c>
      <c r="G170" s="22" t="s">
        <v>338</v>
      </c>
    </row>
    <row r="171" spans="1:7" ht="18.75" x14ac:dyDescent="0.3">
      <c r="A171" s="44" t="s">
        <v>569</v>
      </c>
      <c r="B171" s="385">
        <v>171</v>
      </c>
      <c r="C171" s="44" t="s">
        <v>1055</v>
      </c>
      <c r="D171" s="320"/>
      <c r="E171" s="320"/>
      <c r="F171" s="44" t="s">
        <v>377</v>
      </c>
      <c r="G171" s="22" t="s">
        <v>338</v>
      </c>
    </row>
    <row r="172" spans="1:7" ht="18.75" x14ac:dyDescent="0.3">
      <c r="A172" s="30" t="s">
        <v>218</v>
      </c>
      <c r="B172" s="386">
        <v>172</v>
      </c>
      <c r="C172" s="30" t="s">
        <v>218</v>
      </c>
      <c r="D172" s="321"/>
      <c r="E172" s="321"/>
      <c r="F172" s="30" t="s">
        <v>218</v>
      </c>
      <c r="G172" s="30" t="s">
        <v>218</v>
      </c>
    </row>
    <row r="173" spans="1:7" ht="18.75" x14ac:dyDescent="0.3">
      <c r="A173" s="30" t="s">
        <v>218</v>
      </c>
      <c r="B173" s="386">
        <v>173</v>
      </c>
      <c r="C173" s="30" t="s">
        <v>218</v>
      </c>
      <c r="D173" s="321"/>
      <c r="E173" s="321"/>
      <c r="F173" s="30" t="s">
        <v>218</v>
      </c>
      <c r="G173" s="30" t="s">
        <v>218</v>
      </c>
    </row>
    <row r="174" spans="1:7" ht="18.75" x14ac:dyDescent="0.3">
      <c r="A174" s="30" t="s">
        <v>218</v>
      </c>
      <c r="B174" s="386">
        <v>174</v>
      </c>
      <c r="C174" s="30" t="s">
        <v>218</v>
      </c>
      <c r="D174" s="321"/>
      <c r="E174" s="321"/>
      <c r="F174" s="30" t="s">
        <v>218</v>
      </c>
      <c r="G174" s="30" t="s">
        <v>218</v>
      </c>
    </row>
    <row r="175" spans="1:7" ht="18.75" x14ac:dyDescent="0.3">
      <c r="A175" s="44" t="s">
        <v>207</v>
      </c>
      <c r="B175" s="385">
        <v>175</v>
      </c>
      <c r="C175" s="44" t="s">
        <v>172</v>
      </c>
      <c r="D175" s="320"/>
      <c r="E175" s="320"/>
      <c r="F175" s="44" t="s">
        <v>14</v>
      </c>
      <c r="G175" s="22" t="s">
        <v>1575</v>
      </c>
    </row>
    <row r="176" spans="1:7" ht="18.75" x14ac:dyDescent="0.3">
      <c r="A176" s="44" t="s">
        <v>207</v>
      </c>
      <c r="B176" s="385">
        <v>176</v>
      </c>
      <c r="C176" s="44" t="s">
        <v>158</v>
      </c>
      <c r="D176" s="320"/>
      <c r="E176" s="320"/>
      <c r="F176" s="44" t="s">
        <v>159</v>
      </c>
      <c r="G176" s="22" t="s">
        <v>338</v>
      </c>
    </row>
    <row r="177" spans="1:7" ht="18.75" x14ac:dyDescent="0.3">
      <c r="A177" s="44" t="s">
        <v>207</v>
      </c>
      <c r="B177" s="385">
        <v>177</v>
      </c>
      <c r="C177" s="44" t="s">
        <v>92</v>
      </c>
      <c r="D177" s="320"/>
      <c r="E177" s="320"/>
      <c r="F177" s="44" t="s">
        <v>139</v>
      </c>
      <c r="G177" s="22" t="s">
        <v>338</v>
      </c>
    </row>
    <row r="178" spans="1:7" ht="18.75" x14ac:dyDescent="0.3">
      <c r="A178" s="44" t="s">
        <v>207</v>
      </c>
      <c r="B178" s="385">
        <v>178</v>
      </c>
      <c r="C178" s="44" t="s">
        <v>1565</v>
      </c>
      <c r="D178" s="320"/>
      <c r="E178" s="320"/>
      <c r="F178" s="44" t="s">
        <v>1564</v>
      </c>
      <c r="G178" s="22" t="s">
        <v>338</v>
      </c>
    </row>
    <row r="179" spans="1:7" ht="18.75" x14ac:dyDescent="0.3">
      <c r="A179" s="44" t="s">
        <v>207</v>
      </c>
      <c r="B179" s="385">
        <v>179</v>
      </c>
      <c r="C179" s="44" t="s">
        <v>339</v>
      </c>
      <c r="D179" s="320"/>
      <c r="E179" s="320"/>
      <c r="F179" s="44" t="s">
        <v>130</v>
      </c>
      <c r="G179" s="22" t="s">
        <v>338</v>
      </c>
    </row>
    <row r="180" spans="1:7" ht="18.75" x14ac:dyDescent="0.3">
      <c r="A180" s="44" t="s">
        <v>289</v>
      </c>
      <c r="B180" s="385">
        <v>180</v>
      </c>
      <c r="C180" s="44" t="s">
        <v>676</v>
      </c>
      <c r="D180" s="320"/>
      <c r="E180" s="320"/>
      <c r="F180" s="44" t="s">
        <v>96</v>
      </c>
      <c r="G180" s="22" t="s">
        <v>338</v>
      </c>
    </row>
    <row r="181" spans="1:7" ht="18.75" x14ac:dyDescent="0.3">
      <c r="A181" s="44" t="s">
        <v>75</v>
      </c>
      <c r="B181" s="385">
        <v>181</v>
      </c>
      <c r="C181" s="44" t="s">
        <v>1345</v>
      </c>
      <c r="D181" s="320"/>
      <c r="E181" s="320"/>
      <c r="F181" s="44" t="s">
        <v>113</v>
      </c>
      <c r="G181" s="22" t="s">
        <v>338</v>
      </c>
    </row>
    <row r="182" spans="1:7" ht="18.75" x14ac:dyDescent="0.3">
      <c r="A182" s="30" t="s">
        <v>218</v>
      </c>
      <c r="B182" s="386">
        <v>182</v>
      </c>
      <c r="C182" s="30" t="s">
        <v>218</v>
      </c>
      <c r="D182" s="321"/>
      <c r="E182" s="321"/>
      <c r="F182" s="30" t="s">
        <v>218</v>
      </c>
      <c r="G182" s="1" t="s">
        <v>218</v>
      </c>
    </row>
    <row r="183" spans="1:7" ht="18.75" x14ac:dyDescent="0.3">
      <c r="A183" s="44" t="s">
        <v>63</v>
      </c>
      <c r="B183" s="385">
        <v>183</v>
      </c>
      <c r="C183" s="44" t="s">
        <v>1398</v>
      </c>
      <c r="D183" s="320"/>
      <c r="E183" s="320"/>
      <c r="F183" s="44" t="s">
        <v>783</v>
      </c>
      <c r="G183" s="22" t="s">
        <v>338</v>
      </c>
    </row>
    <row r="184" spans="1:7" ht="18.75" x14ac:dyDescent="0.3">
      <c r="A184" s="41" t="s">
        <v>218</v>
      </c>
      <c r="B184" s="384">
        <v>184</v>
      </c>
      <c r="C184" s="41" t="s">
        <v>218</v>
      </c>
      <c r="D184" s="319"/>
      <c r="E184" s="319"/>
      <c r="F184" s="41" t="s">
        <v>218</v>
      </c>
      <c r="G184" s="25" t="s">
        <v>218</v>
      </c>
    </row>
    <row r="185" spans="1:7" ht="18.75" x14ac:dyDescent="0.3">
      <c r="A185" s="44" t="s">
        <v>75</v>
      </c>
      <c r="B185" s="385">
        <v>185</v>
      </c>
      <c r="C185" s="44" t="s">
        <v>112</v>
      </c>
      <c r="D185" s="320"/>
      <c r="E185" s="320"/>
      <c r="F185" s="44" t="s">
        <v>715</v>
      </c>
      <c r="G185" s="22" t="s">
        <v>338</v>
      </c>
    </row>
    <row r="186" spans="1:7" ht="18.75" x14ac:dyDescent="0.3">
      <c r="A186" s="30" t="s">
        <v>218</v>
      </c>
      <c r="B186" s="386">
        <v>186</v>
      </c>
      <c r="C186" s="30" t="s">
        <v>218</v>
      </c>
      <c r="D186" s="321"/>
      <c r="E186" s="321"/>
      <c r="F186" s="30" t="s">
        <v>218</v>
      </c>
      <c r="G186" s="1" t="s">
        <v>218</v>
      </c>
    </row>
    <row r="187" spans="1:7" ht="18.75" x14ac:dyDescent="0.3">
      <c r="A187" s="30" t="s">
        <v>218</v>
      </c>
      <c r="B187" s="386">
        <v>187</v>
      </c>
      <c r="C187" s="30" t="s">
        <v>218</v>
      </c>
      <c r="D187" s="321"/>
      <c r="E187" s="321"/>
      <c r="F187" s="30" t="s">
        <v>218</v>
      </c>
      <c r="G187" s="1" t="s">
        <v>218</v>
      </c>
    </row>
    <row r="188" spans="1:7" ht="18.75" x14ac:dyDescent="0.3">
      <c r="A188" s="30" t="s">
        <v>218</v>
      </c>
      <c r="B188" s="386">
        <v>188</v>
      </c>
      <c r="C188" s="30" t="s">
        <v>218</v>
      </c>
      <c r="D188" s="321"/>
      <c r="E188" s="321"/>
      <c r="F188" s="30" t="s">
        <v>218</v>
      </c>
      <c r="G188" s="1" t="s">
        <v>218</v>
      </c>
    </row>
    <row r="189" spans="1:7" ht="18.75" x14ac:dyDescent="0.3">
      <c r="A189" s="44" t="s">
        <v>63</v>
      </c>
      <c r="B189" s="385">
        <v>189</v>
      </c>
      <c r="C189" s="44" t="s">
        <v>1352</v>
      </c>
      <c r="D189" s="320"/>
      <c r="E189" s="320"/>
      <c r="F189" s="44" t="s">
        <v>500</v>
      </c>
      <c r="G189" s="22" t="s">
        <v>338</v>
      </c>
    </row>
    <row r="190" spans="1:7" ht="18.75" x14ac:dyDescent="0.3">
      <c r="A190" s="44" t="s">
        <v>104</v>
      </c>
      <c r="B190" s="385">
        <v>190</v>
      </c>
      <c r="C190" s="44" t="s">
        <v>1339</v>
      </c>
      <c r="D190" s="320"/>
      <c r="E190" s="320"/>
      <c r="F190" s="44" t="s">
        <v>14</v>
      </c>
      <c r="G190" s="22" t="s">
        <v>338</v>
      </c>
    </row>
    <row r="191" spans="1:7" ht="18.75" x14ac:dyDescent="0.3">
      <c r="A191" s="44" t="s">
        <v>289</v>
      </c>
      <c r="B191" s="385">
        <v>191</v>
      </c>
      <c r="C191" s="44" t="s">
        <v>581</v>
      </c>
      <c r="D191" s="320"/>
      <c r="E191" s="320"/>
      <c r="F191" s="44" t="s">
        <v>511</v>
      </c>
      <c r="G191" s="22" t="s">
        <v>338</v>
      </c>
    </row>
    <row r="192" spans="1:7" ht="18.75" x14ac:dyDescent="0.3">
      <c r="A192" s="30" t="s">
        <v>218</v>
      </c>
      <c r="B192" s="386">
        <v>192</v>
      </c>
      <c r="C192" s="30" t="s">
        <v>218</v>
      </c>
      <c r="D192" s="321"/>
      <c r="E192" s="321"/>
      <c r="F192" s="30" t="s">
        <v>218</v>
      </c>
      <c r="G192" s="1" t="s">
        <v>218</v>
      </c>
    </row>
    <row r="193" spans="1:7" ht="18.75" x14ac:dyDescent="0.3">
      <c r="A193" s="30" t="s">
        <v>218</v>
      </c>
      <c r="B193" s="386">
        <v>193</v>
      </c>
      <c r="C193" s="30" t="s">
        <v>218</v>
      </c>
      <c r="D193" s="321"/>
      <c r="E193" s="321"/>
      <c r="F193" s="30" t="s">
        <v>218</v>
      </c>
      <c r="G193" s="1" t="s">
        <v>218</v>
      </c>
    </row>
    <row r="194" spans="1:7" ht="18.75" x14ac:dyDescent="0.3">
      <c r="A194" s="30" t="s">
        <v>218</v>
      </c>
      <c r="B194" s="386">
        <v>194</v>
      </c>
      <c r="C194" s="30" t="s">
        <v>218</v>
      </c>
      <c r="D194" s="321"/>
      <c r="E194" s="321"/>
      <c r="F194" s="30" t="s">
        <v>218</v>
      </c>
      <c r="G194" s="1" t="s">
        <v>218</v>
      </c>
    </row>
    <row r="195" spans="1:7" ht="18.75" x14ac:dyDescent="0.3">
      <c r="A195" s="30" t="s">
        <v>218</v>
      </c>
      <c r="B195" s="386">
        <v>195</v>
      </c>
      <c r="C195" s="30" t="s">
        <v>218</v>
      </c>
      <c r="D195" s="321"/>
      <c r="E195" s="321"/>
      <c r="F195" s="30" t="s">
        <v>218</v>
      </c>
      <c r="G195" s="1" t="s">
        <v>218</v>
      </c>
    </row>
    <row r="196" spans="1:7" ht="18.75" x14ac:dyDescent="0.3">
      <c r="A196" s="30" t="s">
        <v>218</v>
      </c>
      <c r="B196" s="386">
        <v>196</v>
      </c>
      <c r="C196" s="30" t="s">
        <v>218</v>
      </c>
      <c r="D196" s="321"/>
      <c r="E196" s="321"/>
      <c r="F196" s="30" t="s">
        <v>218</v>
      </c>
      <c r="G196" s="1" t="s">
        <v>218</v>
      </c>
    </row>
    <row r="197" spans="1:7" ht="18.75" x14ac:dyDescent="0.3">
      <c r="A197" s="30" t="s">
        <v>218</v>
      </c>
      <c r="B197" s="386">
        <v>197</v>
      </c>
      <c r="C197" s="30" t="s">
        <v>218</v>
      </c>
      <c r="D197" s="321"/>
      <c r="E197" s="321"/>
      <c r="F197" s="30" t="s">
        <v>218</v>
      </c>
      <c r="G197" s="1" t="s">
        <v>218</v>
      </c>
    </row>
    <row r="198" spans="1:7" ht="18.75" x14ac:dyDescent="0.3">
      <c r="A198" s="30" t="s">
        <v>218</v>
      </c>
      <c r="B198" s="386">
        <v>198</v>
      </c>
      <c r="C198" s="30" t="s">
        <v>218</v>
      </c>
      <c r="D198" s="321"/>
      <c r="E198" s="321"/>
      <c r="F198" s="30" t="s">
        <v>218</v>
      </c>
      <c r="G198" s="1" t="s">
        <v>218</v>
      </c>
    </row>
    <row r="199" spans="1:7" ht="18.75" x14ac:dyDescent="0.3">
      <c r="A199" s="30" t="s">
        <v>218</v>
      </c>
      <c r="B199" s="386">
        <v>199</v>
      </c>
      <c r="C199" s="30" t="s">
        <v>218</v>
      </c>
      <c r="D199" s="321"/>
      <c r="E199" s="321"/>
      <c r="F199" s="30" t="s">
        <v>218</v>
      </c>
      <c r="G199" s="1" t="s">
        <v>218</v>
      </c>
    </row>
    <row r="200" spans="1:7" ht="18.75" x14ac:dyDescent="0.3">
      <c r="A200" s="30" t="s">
        <v>384</v>
      </c>
      <c r="B200" s="386">
        <v>200</v>
      </c>
      <c r="C200" s="30" t="s">
        <v>240</v>
      </c>
      <c r="D200" s="321"/>
      <c r="E200" s="321"/>
      <c r="F200" s="30" t="s">
        <v>377</v>
      </c>
      <c r="G200" s="1" t="s">
        <v>338</v>
      </c>
    </row>
    <row r="201" spans="1:7" ht="18.75" x14ac:dyDescent="0.3">
      <c r="A201" s="30" t="s">
        <v>385</v>
      </c>
      <c r="B201" s="386">
        <v>201</v>
      </c>
      <c r="C201" s="30" t="s">
        <v>241</v>
      </c>
      <c r="D201" s="321"/>
      <c r="E201" s="321"/>
      <c r="F201" s="30" t="s">
        <v>377</v>
      </c>
      <c r="G201" s="1" t="s">
        <v>338</v>
      </c>
    </row>
    <row r="202" spans="1:7" ht="18.75" x14ac:dyDescent="0.3">
      <c r="A202" s="30" t="s">
        <v>218</v>
      </c>
      <c r="B202" s="386">
        <v>202</v>
      </c>
      <c r="C202" s="30" t="s">
        <v>218</v>
      </c>
      <c r="D202" s="321"/>
      <c r="E202" s="321"/>
      <c r="F202" s="30" t="s">
        <v>218</v>
      </c>
      <c r="G202" s="30" t="s">
        <v>218</v>
      </c>
    </row>
    <row r="203" spans="1:7" ht="18.75" x14ac:dyDescent="0.3">
      <c r="A203" s="30" t="s">
        <v>218</v>
      </c>
      <c r="B203" s="386">
        <v>203</v>
      </c>
      <c r="C203" s="30" t="s">
        <v>218</v>
      </c>
      <c r="D203" s="321"/>
      <c r="E203" s="321"/>
      <c r="F203" s="30" t="s">
        <v>218</v>
      </c>
      <c r="G203" s="30" t="s">
        <v>218</v>
      </c>
    </row>
    <row r="204" spans="1:7" ht="18.75" x14ac:dyDescent="0.3">
      <c r="A204" s="30" t="s">
        <v>218</v>
      </c>
      <c r="B204" s="386">
        <v>204</v>
      </c>
      <c r="C204" s="30" t="s">
        <v>218</v>
      </c>
      <c r="D204" s="321"/>
      <c r="E204" s="321"/>
      <c r="F204" s="30" t="s">
        <v>218</v>
      </c>
      <c r="G204" s="30" t="s">
        <v>218</v>
      </c>
    </row>
    <row r="205" spans="1:7" ht="18.75" x14ac:dyDescent="0.3">
      <c r="A205" s="32" t="s">
        <v>220</v>
      </c>
      <c r="B205" s="388">
        <v>205</v>
      </c>
      <c r="C205" s="32" t="s">
        <v>221</v>
      </c>
      <c r="D205" s="322"/>
      <c r="E205" s="322"/>
      <c r="F205" s="32" t="s">
        <v>377</v>
      </c>
      <c r="G205" s="46" t="s">
        <v>338</v>
      </c>
    </row>
    <row r="206" spans="1:7" ht="18.75" x14ac:dyDescent="0.3">
      <c r="A206" s="32" t="s">
        <v>804</v>
      </c>
      <c r="B206" s="388">
        <v>206</v>
      </c>
      <c r="C206" s="32" t="s">
        <v>221</v>
      </c>
      <c r="D206" s="322"/>
      <c r="E206" s="322"/>
      <c r="F206" s="32" t="s">
        <v>377</v>
      </c>
      <c r="G206" s="46" t="s">
        <v>338</v>
      </c>
    </row>
    <row r="207" spans="1:7" ht="18.75" x14ac:dyDescent="0.3">
      <c r="A207" s="30" t="s">
        <v>218</v>
      </c>
      <c r="B207" s="386">
        <v>207</v>
      </c>
      <c r="C207" s="30" t="s">
        <v>218</v>
      </c>
      <c r="D207" s="321"/>
      <c r="E207" s="321"/>
      <c r="F207" s="30" t="s">
        <v>218</v>
      </c>
      <c r="G207" s="30" t="s">
        <v>218</v>
      </c>
    </row>
    <row r="208" spans="1:7" ht="18.75" x14ac:dyDescent="0.3">
      <c r="A208" s="30" t="s">
        <v>63</v>
      </c>
      <c r="B208" s="386">
        <v>208</v>
      </c>
      <c r="C208" s="30" t="s">
        <v>313</v>
      </c>
      <c r="D208" s="321"/>
      <c r="E208" s="321"/>
      <c r="F208" s="30" t="s">
        <v>549</v>
      </c>
      <c r="G208" s="1" t="s">
        <v>338</v>
      </c>
    </row>
    <row r="209" spans="1:7" ht="18.75" x14ac:dyDescent="0.3">
      <c r="A209" s="30" t="s">
        <v>218</v>
      </c>
      <c r="B209" s="386">
        <v>209</v>
      </c>
      <c r="C209" s="30" t="s">
        <v>218</v>
      </c>
      <c r="D209" s="321"/>
      <c r="E209" s="321"/>
      <c r="F209" s="30" t="s">
        <v>218</v>
      </c>
      <c r="G209" s="30" t="s">
        <v>218</v>
      </c>
    </row>
    <row r="210" spans="1:7" ht="18.75" x14ac:dyDescent="0.3">
      <c r="A210" s="32" t="s">
        <v>551</v>
      </c>
      <c r="B210" s="388">
        <v>210</v>
      </c>
      <c r="C210" s="32" t="s">
        <v>93</v>
      </c>
      <c r="D210" s="322"/>
      <c r="E210" s="322"/>
      <c r="F210" s="32" t="s">
        <v>159</v>
      </c>
      <c r="G210" s="46" t="s">
        <v>338</v>
      </c>
    </row>
    <row r="211" spans="1:7" ht="18.75" x14ac:dyDescent="0.3">
      <c r="A211" s="30" t="s">
        <v>218</v>
      </c>
      <c r="B211" s="386">
        <v>211</v>
      </c>
      <c r="C211" s="30" t="s">
        <v>218</v>
      </c>
      <c r="D211" s="321"/>
      <c r="E211" s="321"/>
      <c r="F211" s="30" t="s">
        <v>218</v>
      </c>
      <c r="G211" s="30" t="s">
        <v>218</v>
      </c>
    </row>
    <row r="212" spans="1:7" ht="18.75" x14ac:dyDescent="0.3">
      <c r="A212" s="30" t="s">
        <v>218</v>
      </c>
      <c r="B212" s="386">
        <v>212</v>
      </c>
      <c r="C212" s="30" t="s">
        <v>218</v>
      </c>
      <c r="D212" s="321"/>
      <c r="E212" s="321"/>
      <c r="F212" s="30" t="s">
        <v>218</v>
      </c>
      <c r="G212" s="30" t="s">
        <v>218</v>
      </c>
    </row>
    <row r="213" spans="1:7" ht="18.75" x14ac:dyDescent="0.3">
      <c r="A213" s="30" t="s">
        <v>218</v>
      </c>
      <c r="B213" s="386">
        <v>213</v>
      </c>
      <c r="C213" s="30" t="s">
        <v>218</v>
      </c>
      <c r="D213" s="321"/>
      <c r="E213" s="321"/>
      <c r="F213" s="30" t="s">
        <v>218</v>
      </c>
      <c r="G213" s="30" t="s">
        <v>218</v>
      </c>
    </row>
    <row r="214" spans="1:7" ht="18.75" x14ac:dyDescent="0.3">
      <c r="A214" s="30" t="s">
        <v>22</v>
      </c>
      <c r="B214" s="386">
        <v>214</v>
      </c>
      <c r="C214" s="30" t="s">
        <v>79</v>
      </c>
      <c r="D214" s="321"/>
      <c r="E214" s="321"/>
      <c r="F214" s="30" t="s">
        <v>674</v>
      </c>
      <c r="G214" s="30" t="s">
        <v>338</v>
      </c>
    </row>
    <row r="215" spans="1:7" ht="18.75" x14ac:dyDescent="0.3">
      <c r="A215" s="30" t="s">
        <v>63</v>
      </c>
      <c r="B215" s="386">
        <v>215</v>
      </c>
      <c r="C215" s="30" t="s">
        <v>309</v>
      </c>
      <c r="D215" s="321"/>
      <c r="E215" s="321"/>
      <c r="F215" s="30" t="s">
        <v>550</v>
      </c>
      <c r="G215" s="1" t="s">
        <v>338</v>
      </c>
    </row>
    <row r="216" spans="1:7" ht="18.75" x14ac:dyDescent="0.3">
      <c r="A216" s="30" t="s">
        <v>218</v>
      </c>
      <c r="B216" s="386">
        <v>216</v>
      </c>
      <c r="C216" s="30" t="s">
        <v>218</v>
      </c>
      <c r="D216" s="321"/>
      <c r="E216" s="321"/>
      <c r="F216" s="30" t="s">
        <v>218</v>
      </c>
      <c r="G216" s="30" t="s">
        <v>218</v>
      </c>
    </row>
    <row r="217" spans="1:7" ht="18.75" x14ac:dyDescent="0.3">
      <c r="A217" s="30" t="s">
        <v>218</v>
      </c>
      <c r="B217" s="386">
        <v>217</v>
      </c>
      <c r="C217" s="30" t="s">
        <v>218</v>
      </c>
      <c r="D217" s="321"/>
      <c r="E217" s="321"/>
      <c r="F217" s="30" t="s">
        <v>218</v>
      </c>
      <c r="G217" s="30" t="s">
        <v>218</v>
      </c>
    </row>
    <row r="218" spans="1:7" ht="18.75" x14ac:dyDescent="0.3">
      <c r="A218" s="30" t="s">
        <v>218</v>
      </c>
      <c r="B218" s="386">
        <v>218</v>
      </c>
      <c r="C218" s="30" t="s">
        <v>218</v>
      </c>
      <c r="D218" s="321"/>
      <c r="E218" s="321"/>
      <c r="F218" s="30" t="s">
        <v>218</v>
      </c>
      <c r="G218" s="30" t="s">
        <v>218</v>
      </c>
    </row>
    <row r="219" spans="1:7" ht="18.75" x14ac:dyDescent="0.3">
      <c r="A219" s="30" t="s">
        <v>218</v>
      </c>
      <c r="B219" s="386">
        <v>219</v>
      </c>
      <c r="C219" s="30" t="s">
        <v>218</v>
      </c>
      <c r="D219" s="321"/>
      <c r="E219" s="321"/>
      <c r="F219" s="30" t="s">
        <v>218</v>
      </c>
      <c r="G219" s="30" t="s">
        <v>218</v>
      </c>
    </row>
    <row r="220" spans="1:7" ht="18.75" x14ac:dyDescent="0.3">
      <c r="A220" s="32" t="s">
        <v>351</v>
      </c>
      <c r="B220" s="388">
        <v>220</v>
      </c>
      <c r="C220" s="32" t="s">
        <v>680</v>
      </c>
      <c r="D220" s="322"/>
      <c r="E220" s="322"/>
      <c r="F220" s="32" t="s">
        <v>203</v>
      </c>
      <c r="G220" s="32" t="s">
        <v>338</v>
      </c>
    </row>
    <row r="221" spans="1:7" ht="18.75" x14ac:dyDescent="0.3">
      <c r="A221" s="30" t="s">
        <v>346</v>
      </c>
      <c r="B221" s="386">
        <v>221</v>
      </c>
      <c r="C221" s="30" t="s">
        <v>47</v>
      </c>
      <c r="D221" s="321"/>
      <c r="E221" s="321"/>
      <c r="F221" s="30" t="s">
        <v>492</v>
      </c>
      <c r="G221" s="1" t="s">
        <v>338</v>
      </c>
    </row>
    <row r="222" spans="1:7" ht="18.75" x14ac:dyDescent="0.3">
      <c r="A222" s="30" t="s">
        <v>218</v>
      </c>
      <c r="B222" s="386">
        <v>222</v>
      </c>
      <c r="C222" s="30" t="s">
        <v>218</v>
      </c>
      <c r="D222" s="321"/>
      <c r="E222" s="321"/>
      <c r="F222" s="30" t="s">
        <v>218</v>
      </c>
      <c r="G222" s="1" t="s">
        <v>218</v>
      </c>
    </row>
    <row r="223" spans="1:7" ht="18.75" x14ac:dyDescent="0.3">
      <c r="A223" s="30" t="s">
        <v>218</v>
      </c>
      <c r="B223" s="386">
        <v>223</v>
      </c>
      <c r="C223" s="30" t="s">
        <v>218</v>
      </c>
      <c r="D223" s="321"/>
      <c r="E223" s="321"/>
      <c r="F223" s="30" t="s">
        <v>218</v>
      </c>
      <c r="G223" s="30" t="s">
        <v>218</v>
      </c>
    </row>
    <row r="224" spans="1:7" ht="18.75" x14ac:dyDescent="0.3">
      <c r="A224" s="30" t="s">
        <v>218</v>
      </c>
      <c r="B224" s="386">
        <v>224</v>
      </c>
      <c r="C224" s="30" t="s">
        <v>218</v>
      </c>
      <c r="D224" s="321"/>
      <c r="E224" s="321"/>
      <c r="F224" s="30" t="s">
        <v>218</v>
      </c>
      <c r="G224" s="30" t="s">
        <v>218</v>
      </c>
    </row>
    <row r="225" spans="1:7" ht="18.75" x14ac:dyDescent="0.3">
      <c r="A225" s="30" t="s">
        <v>218</v>
      </c>
      <c r="B225" s="386">
        <v>225</v>
      </c>
      <c r="C225" s="30" t="s">
        <v>218</v>
      </c>
      <c r="D225" s="321"/>
      <c r="E225" s="321"/>
      <c r="F225" s="30" t="s">
        <v>218</v>
      </c>
      <c r="G225" s="30" t="s">
        <v>218</v>
      </c>
    </row>
    <row r="226" spans="1:7" ht="18.75" x14ac:dyDescent="0.3">
      <c r="A226" s="30" t="s">
        <v>218</v>
      </c>
      <c r="B226" s="386">
        <v>226</v>
      </c>
      <c r="C226" s="30" t="s">
        <v>218</v>
      </c>
      <c r="D226" s="321"/>
      <c r="E226" s="321"/>
      <c r="F226" s="30" t="s">
        <v>218</v>
      </c>
      <c r="G226" s="30" t="s">
        <v>218</v>
      </c>
    </row>
    <row r="227" spans="1:7" ht="18.75" x14ac:dyDescent="0.3">
      <c r="A227" s="30" t="s">
        <v>218</v>
      </c>
      <c r="B227" s="386">
        <v>227</v>
      </c>
      <c r="C227" s="30" t="s">
        <v>218</v>
      </c>
      <c r="D227" s="321"/>
      <c r="E227" s="321"/>
      <c r="F227" s="30" t="s">
        <v>218</v>
      </c>
      <c r="G227" s="30" t="s">
        <v>218</v>
      </c>
    </row>
    <row r="228" spans="1:7" ht="18.75" x14ac:dyDescent="0.3">
      <c r="A228" s="30" t="s">
        <v>218</v>
      </c>
      <c r="B228" s="386">
        <v>228</v>
      </c>
      <c r="C228" s="30" t="s">
        <v>218</v>
      </c>
      <c r="D228" s="321"/>
      <c r="E228" s="321"/>
      <c r="F228" s="30" t="s">
        <v>218</v>
      </c>
      <c r="G228" s="30" t="s">
        <v>218</v>
      </c>
    </row>
    <row r="229" spans="1:7" ht="18.75" x14ac:dyDescent="0.3">
      <c r="A229" s="30" t="s">
        <v>75</v>
      </c>
      <c r="B229" s="386">
        <v>229</v>
      </c>
      <c r="C229" s="30" t="s">
        <v>76</v>
      </c>
      <c r="D229" s="321"/>
      <c r="E229" s="321"/>
      <c r="F229" s="30" t="s">
        <v>285</v>
      </c>
      <c r="G229" s="1" t="s">
        <v>338</v>
      </c>
    </row>
    <row r="230" spans="1:7" ht="18.75" x14ac:dyDescent="0.3">
      <c r="A230" s="30" t="s">
        <v>136</v>
      </c>
      <c r="B230" s="386">
        <v>230</v>
      </c>
      <c r="C230" s="30" t="s">
        <v>690</v>
      </c>
      <c r="D230" s="321"/>
      <c r="E230" s="321"/>
      <c r="F230" s="30" t="s">
        <v>691</v>
      </c>
      <c r="G230" s="1" t="s">
        <v>338</v>
      </c>
    </row>
    <row r="231" spans="1:7" ht="18.75" x14ac:dyDescent="0.3">
      <c r="A231" s="30" t="s">
        <v>218</v>
      </c>
      <c r="B231" s="386">
        <v>231</v>
      </c>
      <c r="C231" s="30" t="s">
        <v>218</v>
      </c>
      <c r="D231" s="321"/>
      <c r="E231" s="321"/>
      <c r="F231" s="30" t="s">
        <v>218</v>
      </c>
      <c r="G231" s="1" t="s">
        <v>218</v>
      </c>
    </row>
    <row r="232" spans="1:7" ht="18.75" x14ac:dyDescent="0.3">
      <c r="A232" s="30" t="s">
        <v>218</v>
      </c>
      <c r="B232" s="386">
        <v>232</v>
      </c>
      <c r="C232" s="30" t="s">
        <v>218</v>
      </c>
      <c r="D232" s="321"/>
      <c r="E232" s="321"/>
      <c r="F232" s="30" t="s">
        <v>218</v>
      </c>
      <c r="G232" s="1" t="s">
        <v>218</v>
      </c>
    </row>
    <row r="233" spans="1:7" ht="18.75" x14ac:dyDescent="0.3">
      <c r="A233" s="30" t="s">
        <v>218</v>
      </c>
      <c r="B233" s="386">
        <v>233</v>
      </c>
      <c r="C233" s="30" t="s">
        <v>218</v>
      </c>
      <c r="D233" s="321"/>
      <c r="E233" s="321"/>
      <c r="F233" s="30" t="s">
        <v>218</v>
      </c>
      <c r="G233" s="1" t="s">
        <v>218</v>
      </c>
    </row>
    <row r="234" spans="1:7" ht="18.75" x14ac:dyDescent="0.3">
      <c r="A234" s="30" t="s">
        <v>218</v>
      </c>
      <c r="B234" s="386">
        <v>234</v>
      </c>
      <c r="C234" s="30" t="s">
        <v>218</v>
      </c>
      <c r="D234" s="321"/>
      <c r="E234" s="321"/>
      <c r="F234" s="30" t="s">
        <v>218</v>
      </c>
      <c r="G234" s="1" t="s">
        <v>218</v>
      </c>
    </row>
    <row r="235" spans="1:7" ht="18.75" x14ac:dyDescent="0.3">
      <c r="A235" s="30" t="s">
        <v>218</v>
      </c>
      <c r="B235" s="386">
        <v>235</v>
      </c>
      <c r="C235" s="30" t="s">
        <v>218</v>
      </c>
      <c r="D235" s="321"/>
      <c r="E235" s="321"/>
      <c r="F235" s="30" t="s">
        <v>218</v>
      </c>
      <c r="G235" s="1" t="s">
        <v>218</v>
      </c>
    </row>
    <row r="236" spans="1:7" ht="18.75" x14ac:dyDescent="0.3">
      <c r="A236" s="30" t="s">
        <v>218</v>
      </c>
      <c r="B236" s="386">
        <v>236</v>
      </c>
      <c r="C236" s="30" t="s">
        <v>218</v>
      </c>
      <c r="D236" s="321"/>
      <c r="E236" s="321"/>
      <c r="F236" s="30" t="s">
        <v>218</v>
      </c>
      <c r="G236" s="1" t="s">
        <v>218</v>
      </c>
    </row>
    <row r="237" spans="1:7" ht="18.75" x14ac:dyDescent="0.3">
      <c r="A237" s="30" t="s">
        <v>218</v>
      </c>
      <c r="B237" s="386">
        <v>237</v>
      </c>
      <c r="C237" s="30" t="s">
        <v>218</v>
      </c>
      <c r="D237" s="321"/>
      <c r="E237" s="321"/>
      <c r="F237" s="30" t="s">
        <v>218</v>
      </c>
      <c r="G237" s="1" t="s">
        <v>218</v>
      </c>
    </row>
    <row r="238" spans="1:7" ht="18.75" x14ac:dyDescent="0.3">
      <c r="A238" s="32" t="s">
        <v>560</v>
      </c>
      <c r="B238" s="388">
        <v>238</v>
      </c>
      <c r="C238" s="32" t="s">
        <v>172</v>
      </c>
      <c r="D238" s="322"/>
      <c r="E238" s="322"/>
      <c r="F238" s="32" t="s">
        <v>171</v>
      </c>
      <c r="G238" s="46" t="s">
        <v>338</v>
      </c>
    </row>
    <row r="239" spans="1:7" ht="18.75" x14ac:dyDescent="0.3">
      <c r="A239" s="30" t="s">
        <v>218</v>
      </c>
      <c r="B239" s="386">
        <v>239</v>
      </c>
      <c r="C239" s="30" t="s">
        <v>218</v>
      </c>
      <c r="D239" s="321"/>
      <c r="E239" s="321"/>
      <c r="F239" s="30" t="s">
        <v>218</v>
      </c>
      <c r="G239" s="1" t="s">
        <v>218</v>
      </c>
    </row>
    <row r="240" spans="1:7" ht="18.75" x14ac:dyDescent="0.3">
      <c r="A240" s="30" t="s">
        <v>346</v>
      </c>
      <c r="B240" s="386">
        <v>240</v>
      </c>
      <c r="C240" s="30" t="e">
        <f>VLOOKUP(B240,Planilha4!$2:$81,16,0)</f>
        <v>#N/A</v>
      </c>
      <c r="D240" s="321"/>
      <c r="E240" s="321"/>
      <c r="F240" s="30" t="s">
        <v>349</v>
      </c>
      <c r="G240" s="1" t="s">
        <v>338</v>
      </c>
    </row>
    <row r="241" spans="1:7" ht="18.75" x14ac:dyDescent="0.3">
      <c r="A241" s="30" t="s">
        <v>218</v>
      </c>
      <c r="B241" s="386">
        <v>241</v>
      </c>
      <c r="C241" s="30" t="s">
        <v>218</v>
      </c>
      <c r="D241" s="321"/>
      <c r="E241" s="321"/>
      <c r="F241" s="30" t="s">
        <v>218</v>
      </c>
      <c r="G241" s="30" t="s">
        <v>218</v>
      </c>
    </row>
    <row r="242" spans="1:7" ht="18.75" x14ac:dyDescent="0.3">
      <c r="A242" s="30" t="s">
        <v>218</v>
      </c>
      <c r="B242" s="386">
        <v>242</v>
      </c>
      <c r="C242" s="30" t="s">
        <v>218</v>
      </c>
      <c r="D242" s="321"/>
      <c r="E242" s="321"/>
      <c r="F242" s="30" t="s">
        <v>218</v>
      </c>
      <c r="G242" s="30" t="s">
        <v>218</v>
      </c>
    </row>
    <row r="243" spans="1:7" ht="18.75" x14ac:dyDescent="0.3">
      <c r="A243" s="30" t="s">
        <v>218</v>
      </c>
      <c r="B243" s="386">
        <v>243</v>
      </c>
      <c r="C243" s="30" t="s">
        <v>218</v>
      </c>
      <c r="D243" s="321"/>
      <c r="E243" s="321"/>
      <c r="F243" s="30" t="s">
        <v>218</v>
      </c>
      <c r="G243" s="30" t="s">
        <v>218</v>
      </c>
    </row>
    <row r="244" spans="1:7" ht="18.75" x14ac:dyDescent="0.3">
      <c r="A244" s="30" t="s">
        <v>218</v>
      </c>
      <c r="B244" s="386">
        <v>244</v>
      </c>
      <c r="C244" s="30" t="s">
        <v>218</v>
      </c>
      <c r="D244" s="321"/>
      <c r="E244" s="321"/>
      <c r="F244" s="30" t="s">
        <v>218</v>
      </c>
      <c r="G244" s="30" t="s">
        <v>218</v>
      </c>
    </row>
    <row r="245" spans="1:7" ht="18.75" x14ac:dyDescent="0.3">
      <c r="A245" s="30" t="s">
        <v>218</v>
      </c>
      <c r="B245" s="386">
        <v>245</v>
      </c>
      <c r="C245" s="30" t="s">
        <v>218</v>
      </c>
      <c r="D245" s="321"/>
      <c r="E245" s="321"/>
      <c r="F245" s="30" t="s">
        <v>218</v>
      </c>
      <c r="G245" s="30" t="s">
        <v>218</v>
      </c>
    </row>
    <row r="246" spans="1:7" ht="18.75" x14ac:dyDescent="0.3">
      <c r="A246" s="30" t="s">
        <v>218</v>
      </c>
      <c r="B246" s="386">
        <v>246</v>
      </c>
      <c r="C246" s="30" t="s">
        <v>218</v>
      </c>
      <c r="D246" s="321"/>
      <c r="E246" s="321"/>
      <c r="F246" s="30" t="s">
        <v>218</v>
      </c>
      <c r="G246" s="30" t="s">
        <v>218</v>
      </c>
    </row>
    <row r="247" spans="1:7" ht="18.75" x14ac:dyDescent="0.3">
      <c r="A247" s="30" t="s">
        <v>218</v>
      </c>
      <c r="B247" s="386">
        <v>247</v>
      </c>
      <c r="C247" s="30" t="s">
        <v>218</v>
      </c>
      <c r="D247" s="321"/>
      <c r="E247" s="321"/>
      <c r="F247" s="30" t="s">
        <v>218</v>
      </c>
      <c r="G247" s="30" t="s">
        <v>218</v>
      </c>
    </row>
    <row r="248" spans="1:7" ht="18.75" x14ac:dyDescent="0.3">
      <c r="A248" s="30" t="s">
        <v>218</v>
      </c>
      <c r="B248" s="386">
        <v>248</v>
      </c>
      <c r="C248" s="30" t="s">
        <v>218</v>
      </c>
      <c r="D248" s="321"/>
      <c r="E248" s="321"/>
      <c r="F248" s="30" t="s">
        <v>218</v>
      </c>
      <c r="G248" s="30" t="s">
        <v>218</v>
      </c>
    </row>
    <row r="249" spans="1:7" ht="18.75" x14ac:dyDescent="0.3">
      <c r="A249" s="30" t="s">
        <v>218</v>
      </c>
      <c r="B249" s="386">
        <v>249</v>
      </c>
      <c r="C249" s="30" t="s">
        <v>218</v>
      </c>
      <c r="D249" s="321"/>
      <c r="E249" s="321"/>
      <c r="F249" s="30" t="s">
        <v>218</v>
      </c>
      <c r="G249" s="30" t="s">
        <v>218</v>
      </c>
    </row>
    <row r="250" spans="1:7" ht="18.75" x14ac:dyDescent="0.3">
      <c r="A250" s="30" t="s">
        <v>385</v>
      </c>
      <c r="B250" s="386">
        <v>250</v>
      </c>
      <c r="C250" s="30" t="s">
        <v>241</v>
      </c>
      <c r="D250" s="321"/>
      <c r="E250" s="321"/>
      <c r="F250" s="30" t="s">
        <v>340</v>
      </c>
      <c r="G250" s="1" t="s">
        <v>338</v>
      </c>
    </row>
    <row r="251" spans="1:7" x14ac:dyDescent="0.25">
      <c r="A251" s="31"/>
      <c r="B251" s="31"/>
      <c r="C251" s="31"/>
      <c r="D251" s="318"/>
      <c r="E251" s="318"/>
      <c r="F251" s="31"/>
      <c r="G251" s="1"/>
    </row>
  </sheetData>
  <mergeCells count="1">
    <mergeCell ref="A1:G1"/>
  </mergeCells>
  <phoneticPr fontId="5" type="noConversion"/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D4DF-6A41-4BE3-9855-E6B22BD784D3}">
  <dimension ref="A1:K137"/>
  <sheetViews>
    <sheetView workbookViewId="0">
      <selection activeCell="I21" sqref="I21"/>
    </sheetView>
  </sheetViews>
  <sheetFormatPr defaultColWidth="9.140625" defaultRowHeight="15" outlineLevelCol="1" x14ac:dyDescent="0.25"/>
  <cols>
    <col min="1" max="1" width="20.28515625" bestFit="1" customWidth="1"/>
    <col min="2" max="2" width="16.85546875" style="380" customWidth="1"/>
    <col min="3" max="3" width="17.7109375" bestFit="1" customWidth="1"/>
    <col min="4" max="4" width="16.85546875" bestFit="1" customWidth="1"/>
    <col min="5" max="5" width="11.140625" style="1" customWidth="1" outlineLevel="1"/>
    <col min="6" max="6" width="10.28515625" style="1" customWidth="1" outlineLevel="1"/>
    <col min="7" max="7" width="9.7109375" style="1" customWidth="1" outlineLevel="1"/>
    <col min="8" max="8" width="6.5703125" style="1" customWidth="1"/>
    <col min="9" max="9" width="20.7109375" style="35" bestFit="1" customWidth="1"/>
    <col min="10" max="10" width="18.28515625" bestFit="1" customWidth="1"/>
    <col min="11" max="11" width="17.28515625" style="1" customWidth="1"/>
  </cols>
  <sheetData>
    <row r="1" spans="1:11" x14ac:dyDescent="0.25">
      <c r="A1" s="15" t="s">
        <v>5</v>
      </c>
      <c r="B1" s="382" t="s">
        <v>1647</v>
      </c>
      <c r="C1" s="15" t="s">
        <v>3</v>
      </c>
      <c r="D1" s="15" t="s">
        <v>5</v>
      </c>
      <c r="E1" s="36" t="s">
        <v>835</v>
      </c>
      <c r="F1" s="36" t="s">
        <v>538</v>
      </c>
      <c r="G1" s="36" t="s">
        <v>968</v>
      </c>
      <c r="H1" s="36" t="s">
        <v>1416</v>
      </c>
      <c r="I1" s="15" t="s">
        <v>906</v>
      </c>
      <c r="J1" s="15" t="s">
        <v>13</v>
      </c>
      <c r="K1" s="15" t="s">
        <v>217</v>
      </c>
    </row>
    <row r="2" spans="1:11" x14ac:dyDescent="0.25">
      <c r="A2" s="268" t="s">
        <v>753</v>
      </c>
      <c r="B2" s="276" t="s">
        <v>753</v>
      </c>
      <c r="C2" s="268" t="s">
        <v>794</v>
      </c>
      <c r="D2" s="268" t="s">
        <v>753</v>
      </c>
      <c r="E2" s="267"/>
      <c r="F2" s="267"/>
      <c r="G2" s="267"/>
      <c r="H2" s="267"/>
      <c r="I2" s="271" t="s">
        <v>791</v>
      </c>
      <c r="J2" s="268" t="s">
        <v>791</v>
      </c>
      <c r="K2" s="347"/>
    </row>
    <row r="3" spans="1:11" x14ac:dyDescent="0.25">
      <c r="A3" s="142" t="s">
        <v>753</v>
      </c>
      <c r="B3" s="274" t="s">
        <v>753</v>
      </c>
      <c r="C3" s="109" t="s">
        <v>993</v>
      </c>
      <c r="D3" s="142" t="s">
        <v>753</v>
      </c>
      <c r="E3" s="269"/>
      <c r="F3" s="269"/>
      <c r="G3" s="269"/>
      <c r="H3" s="269"/>
      <c r="I3" s="271" t="s">
        <v>791</v>
      </c>
      <c r="J3" s="268" t="s">
        <v>791</v>
      </c>
      <c r="K3" s="277"/>
    </row>
    <row r="4" spans="1:11" x14ac:dyDescent="0.25">
      <c r="A4" s="279">
        <v>192168254186</v>
      </c>
      <c r="B4" s="274">
        <v>186</v>
      </c>
      <c r="C4" s="109" t="s">
        <v>231</v>
      </c>
      <c r="D4" s="279">
        <v>192168254186</v>
      </c>
      <c r="E4" s="269"/>
      <c r="F4" s="269"/>
      <c r="G4" s="269"/>
      <c r="H4" s="269"/>
      <c r="I4" s="280" t="s">
        <v>1535</v>
      </c>
      <c r="J4" s="109" t="s">
        <v>1535</v>
      </c>
      <c r="K4" s="278"/>
    </row>
    <row r="5" spans="1:11" x14ac:dyDescent="0.25">
      <c r="A5" s="279">
        <v>192168254123</v>
      </c>
      <c r="B5" s="274">
        <v>123</v>
      </c>
      <c r="C5" s="109" t="s">
        <v>688</v>
      </c>
      <c r="D5" s="279">
        <v>192168254123</v>
      </c>
      <c r="E5" s="269"/>
      <c r="F5" s="269"/>
      <c r="G5" s="281">
        <v>100</v>
      </c>
      <c r="H5" s="281"/>
      <c r="I5" s="280" t="s">
        <v>1535</v>
      </c>
      <c r="J5" s="109" t="s">
        <v>1535</v>
      </c>
      <c r="K5" s="277"/>
    </row>
    <row r="6" spans="1:11" x14ac:dyDescent="0.25">
      <c r="A6" s="279">
        <v>192168254151</v>
      </c>
      <c r="B6" s="274">
        <v>151</v>
      </c>
      <c r="C6" s="109" t="s">
        <v>807</v>
      </c>
      <c r="D6" s="279">
        <v>192168254151</v>
      </c>
      <c r="E6" s="269"/>
      <c r="F6" s="269"/>
      <c r="G6" s="281">
        <v>100</v>
      </c>
      <c r="H6" s="281"/>
      <c r="I6" s="280" t="s">
        <v>1535</v>
      </c>
      <c r="J6" s="109" t="s">
        <v>1535</v>
      </c>
      <c r="K6" s="277"/>
    </row>
    <row r="7" spans="1:11" x14ac:dyDescent="0.25">
      <c r="A7" s="279" t="s">
        <v>501</v>
      </c>
      <c r="B7" s="274">
        <v>92</v>
      </c>
      <c r="C7" s="109" t="s">
        <v>28</v>
      </c>
      <c r="D7" s="279" t="s">
        <v>501</v>
      </c>
      <c r="E7" s="269"/>
      <c r="F7" s="269"/>
      <c r="G7" s="109">
        <v>1000</v>
      </c>
      <c r="H7" s="109"/>
      <c r="I7" s="280" t="s">
        <v>1535</v>
      </c>
      <c r="J7" s="109" t="s">
        <v>1535</v>
      </c>
      <c r="K7" s="277"/>
    </row>
    <row r="8" spans="1:11" x14ac:dyDescent="0.25">
      <c r="A8" s="279">
        <v>192168254214</v>
      </c>
      <c r="B8" s="274">
        <v>214</v>
      </c>
      <c r="C8" s="109" t="s">
        <v>987</v>
      </c>
      <c r="D8" s="279">
        <v>192168254214</v>
      </c>
      <c r="E8" s="269"/>
      <c r="F8" s="269"/>
      <c r="G8" s="109">
        <v>1000</v>
      </c>
      <c r="H8" s="109"/>
      <c r="I8" s="280" t="s">
        <v>1535</v>
      </c>
      <c r="J8" s="109" t="s">
        <v>1535</v>
      </c>
      <c r="K8" s="277"/>
    </row>
    <row r="9" spans="1:11" x14ac:dyDescent="0.25">
      <c r="A9" s="279">
        <v>192168254131</v>
      </c>
      <c r="B9" s="274">
        <v>131</v>
      </c>
      <c r="C9" s="109" t="s">
        <v>226</v>
      </c>
      <c r="D9" s="279">
        <v>192168254131</v>
      </c>
      <c r="E9" s="269"/>
      <c r="F9" s="269"/>
      <c r="G9" s="109">
        <v>1000</v>
      </c>
      <c r="H9" s="109"/>
      <c r="I9" s="280" t="s">
        <v>1535</v>
      </c>
      <c r="J9" s="109" t="s">
        <v>1535</v>
      </c>
      <c r="K9" s="277"/>
    </row>
    <row r="10" spans="1:11" x14ac:dyDescent="0.25">
      <c r="A10" s="142">
        <v>192168254187</v>
      </c>
      <c r="B10" s="274">
        <v>187</v>
      </c>
      <c r="C10" s="109" t="s">
        <v>972</v>
      </c>
      <c r="D10" s="142">
        <v>192168254187</v>
      </c>
      <c r="E10" s="109">
        <v>2</v>
      </c>
      <c r="F10" s="109">
        <v>17</v>
      </c>
      <c r="G10" s="281">
        <v>100</v>
      </c>
      <c r="H10" s="281"/>
      <c r="I10" s="280" t="s">
        <v>1535</v>
      </c>
      <c r="J10" s="109" t="s">
        <v>1535</v>
      </c>
      <c r="K10" s="277"/>
    </row>
    <row r="11" spans="1:11" x14ac:dyDescent="0.25">
      <c r="A11" s="295">
        <v>192168254183</v>
      </c>
      <c r="B11" s="290">
        <v>183</v>
      </c>
      <c r="C11" s="292" t="s">
        <v>1398</v>
      </c>
      <c r="D11" s="295">
        <v>192168254183</v>
      </c>
      <c r="E11" s="288"/>
      <c r="F11" s="288"/>
      <c r="G11" s="146">
        <v>1000</v>
      </c>
      <c r="H11" s="146"/>
      <c r="I11" s="285" t="s">
        <v>14</v>
      </c>
      <c r="J11" s="146" t="s">
        <v>14</v>
      </c>
      <c r="K11" s="348"/>
    </row>
    <row r="12" spans="1:11" x14ac:dyDescent="0.25">
      <c r="A12" s="287">
        <v>192168254106</v>
      </c>
      <c r="B12" s="283">
        <v>106</v>
      </c>
      <c r="C12" s="146" t="s">
        <v>969</v>
      </c>
      <c r="D12" s="287">
        <v>192168254106</v>
      </c>
      <c r="E12" s="288"/>
      <c r="F12" s="288"/>
      <c r="G12" s="146">
        <v>1000</v>
      </c>
      <c r="H12" s="146"/>
      <c r="I12" s="285" t="s">
        <v>14</v>
      </c>
      <c r="J12" s="146" t="s">
        <v>14</v>
      </c>
      <c r="K12" s="348"/>
    </row>
    <row r="13" spans="1:11" x14ac:dyDescent="0.25">
      <c r="A13" s="147">
        <v>192168254114</v>
      </c>
      <c r="B13" s="290">
        <v>114</v>
      </c>
      <c r="C13" s="146" t="s">
        <v>1636</v>
      </c>
      <c r="D13" s="147">
        <v>192168254114</v>
      </c>
      <c r="E13" s="288"/>
      <c r="F13" s="288"/>
      <c r="G13" s="146">
        <v>1000</v>
      </c>
      <c r="H13" s="146"/>
      <c r="I13" s="285" t="s">
        <v>14</v>
      </c>
      <c r="J13" s="146" t="s">
        <v>14</v>
      </c>
      <c r="K13" s="348" t="s">
        <v>338</v>
      </c>
    </row>
    <row r="14" spans="1:11" x14ac:dyDescent="0.25">
      <c r="A14" s="287">
        <v>192168254121</v>
      </c>
      <c r="B14" s="290">
        <v>121</v>
      </c>
      <c r="C14" s="146" t="s">
        <v>60</v>
      </c>
      <c r="D14" s="287">
        <v>192168254121</v>
      </c>
      <c r="E14" s="288"/>
      <c r="F14" s="288"/>
      <c r="G14" s="146">
        <v>1000</v>
      </c>
      <c r="H14" s="146"/>
      <c r="I14" s="285" t="s">
        <v>14</v>
      </c>
      <c r="J14" s="146" t="s">
        <v>14</v>
      </c>
      <c r="K14" s="348"/>
    </row>
    <row r="15" spans="1:11" x14ac:dyDescent="0.25">
      <c r="A15" s="295">
        <v>192168254175</v>
      </c>
      <c r="B15" s="290">
        <v>175</v>
      </c>
      <c r="C15" s="292" t="s">
        <v>172</v>
      </c>
      <c r="D15" s="295">
        <v>192168254175</v>
      </c>
      <c r="E15" s="288"/>
      <c r="F15" s="288"/>
      <c r="G15" s="292">
        <v>1000</v>
      </c>
      <c r="H15" s="292"/>
      <c r="I15" s="302" t="s">
        <v>14</v>
      </c>
      <c r="J15" s="292" t="s">
        <v>14</v>
      </c>
      <c r="K15" s="348"/>
    </row>
    <row r="16" spans="1:11" x14ac:dyDescent="0.25">
      <c r="A16" s="84">
        <v>192168254200</v>
      </c>
      <c r="B16" s="103">
        <v>200</v>
      </c>
      <c r="C16" s="38" t="s">
        <v>240</v>
      </c>
      <c r="D16" s="84">
        <v>192168254200</v>
      </c>
      <c r="E16" s="38">
        <v>1</v>
      </c>
      <c r="F16" s="38">
        <v>48</v>
      </c>
      <c r="G16" s="38">
        <v>1000</v>
      </c>
      <c r="H16" s="38"/>
      <c r="I16" s="70" t="s">
        <v>377</v>
      </c>
      <c r="J16" s="38" t="s">
        <v>14</v>
      </c>
      <c r="K16" s="86"/>
    </row>
    <row r="17" spans="1:11" x14ac:dyDescent="0.25">
      <c r="A17" s="84">
        <v>192168254201</v>
      </c>
      <c r="B17" s="103">
        <v>201</v>
      </c>
      <c r="C17" s="38" t="s">
        <v>241</v>
      </c>
      <c r="D17" s="84">
        <v>192168254201</v>
      </c>
      <c r="E17" s="38">
        <v>1</v>
      </c>
      <c r="F17" s="38">
        <v>46</v>
      </c>
      <c r="G17" s="38">
        <v>1000</v>
      </c>
      <c r="H17" s="38"/>
      <c r="I17" s="70" t="s">
        <v>377</v>
      </c>
      <c r="J17" s="38" t="s">
        <v>14</v>
      </c>
      <c r="K17" s="86"/>
    </row>
    <row r="18" spans="1:11" x14ac:dyDescent="0.25">
      <c r="A18" s="84">
        <v>192168254170</v>
      </c>
      <c r="B18" s="101">
        <v>170</v>
      </c>
      <c r="C18" s="38" t="s">
        <v>545</v>
      </c>
      <c r="D18" s="84">
        <v>192168254170</v>
      </c>
      <c r="E18" s="38">
        <v>2</v>
      </c>
      <c r="F18" s="38">
        <v>23</v>
      </c>
      <c r="G18" s="38">
        <v>1000</v>
      </c>
      <c r="H18" s="38"/>
      <c r="I18" s="70" t="s">
        <v>377</v>
      </c>
      <c r="J18" s="38" t="s">
        <v>14</v>
      </c>
      <c r="K18" s="333"/>
    </row>
    <row r="19" spans="1:11" x14ac:dyDescent="0.25">
      <c r="A19" s="80">
        <v>192168254190</v>
      </c>
      <c r="B19" s="103">
        <v>190</v>
      </c>
      <c r="C19" s="38" t="s">
        <v>1339</v>
      </c>
      <c r="D19" s="80">
        <v>192168254190</v>
      </c>
      <c r="E19" s="80"/>
      <c r="F19" s="80"/>
      <c r="G19" s="38">
        <v>1000</v>
      </c>
      <c r="H19" s="38"/>
      <c r="I19" s="70" t="s">
        <v>14</v>
      </c>
      <c r="J19" s="38" t="s">
        <v>14</v>
      </c>
      <c r="K19" s="333" t="s">
        <v>338</v>
      </c>
    </row>
    <row r="20" spans="1:11" x14ac:dyDescent="0.25">
      <c r="A20" s="83">
        <v>192168254239</v>
      </c>
      <c r="B20" s="101">
        <v>239</v>
      </c>
      <c r="C20" s="38" t="s">
        <v>51</v>
      </c>
      <c r="D20" s="83">
        <v>192168254239</v>
      </c>
      <c r="E20" s="83">
        <v>1</v>
      </c>
      <c r="F20" s="83">
        <v>47</v>
      </c>
      <c r="G20" s="38">
        <v>1000</v>
      </c>
      <c r="H20" s="38"/>
      <c r="I20" s="70" t="s">
        <v>52</v>
      </c>
      <c r="J20" s="38" t="s">
        <v>14</v>
      </c>
      <c r="K20" s="333" t="s">
        <v>338</v>
      </c>
    </row>
    <row r="21" spans="1:11" x14ac:dyDescent="0.25">
      <c r="A21" s="80">
        <v>192168254110</v>
      </c>
      <c r="B21" s="103">
        <v>110</v>
      </c>
      <c r="C21" s="38" t="s">
        <v>224</v>
      </c>
      <c r="D21" s="80">
        <v>192168254110</v>
      </c>
      <c r="E21" s="80">
        <v>1</v>
      </c>
      <c r="F21" s="80">
        <v>4</v>
      </c>
      <c r="G21" s="38">
        <v>1000</v>
      </c>
      <c r="H21" s="38"/>
      <c r="I21" s="70" t="s">
        <v>567</v>
      </c>
      <c r="J21" s="38" t="s">
        <v>14</v>
      </c>
      <c r="K21" s="156" t="s">
        <v>338</v>
      </c>
    </row>
    <row r="22" spans="1:11" x14ac:dyDescent="0.25">
      <c r="A22" s="357">
        <v>192168254240</v>
      </c>
      <c r="B22" s="370">
        <v>240</v>
      </c>
      <c r="C22" s="251" t="s">
        <v>722</v>
      </c>
      <c r="D22" s="357">
        <v>192168254240</v>
      </c>
      <c r="E22" s="357">
        <v>1</v>
      </c>
      <c r="F22" s="357">
        <v>44</v>
      </c>
      <c r="G22" s="251">
        <v>1000</v>
      </c>
      <c r="H22" s="251"/>
      <c r="I22" s="354" t="s">
        <v>349</v>
      </c>
      <c r="J22" s="251" t="s">
        <v>14</v>
      </c>
      <c r="K22" s="251" t="s">
        <v>1626</v>
      </c>
    </row>
    <row r="23" spans="1:11" x14ac:dyDescent="0.25">
      <c r="A23" s="80">
        <v>192168254240</v>
      </c>
      <c r="B23" s="103">
        <v>240</v>
      </c>
      <c r="C23" s="38" t="s">
        <v>722</v>
      </c>
      <c r="D23" s="80">
        <v>192168254240</v>
      </c>
      <c r="E23" s="80">
        <v>1</v>
      </c>
      <c r="F23" s="80">
        <v>44</v>
      </c>
      <c r="G23" s="38">
        <v>1000</v>
      </c>
      <c r="H23" s="38"/>
      <c r="I23" s="70" t="s">
        <v>1629</v>
      </c>
      <c r="J23" s="38" t="s">
        <v>14</v>
      </c>
      <c r="K23" s="156" t="s">
        <v>338</v>
      </c>
    </row>
    <row r="24" spans="1:11" x14ac:dyDescent="0.25">
      <c r="A24" s="357">
        <v>192168254130</v>
      </c>
      <c r="B24" s="370">
        <v>130</v>
      </c>
      <c r="C24" s="251" t="s">
        <v>755</v>
      </c>
      <c r="D24" s="357">
        <v>192168254130</v>
      </c>
      <c r="E24" s="357">
        <v>2</v>
      </c>
      <c r="F24" s="357">
        <v>9</v>
      </c>
      <c r="G24" s="251">
        <v>1000</v>
      </c>
      <c r="H24" s="251"/>
      <c r="I24" s="354" t="s">
        <v>550</v>
      </c>
      <c r="J24" s="251" t="s">
        <v>77</v>
      </c>
      <c r="K24" s="356" t="s">
        <v>1626</v>
      </c>
    </row>
    <row r="25" spans="1:11" x14ac:dyDescent="0.25">
      <c r="A25" s="80">
        <v>192168254130</v>
      </c>
      <c r="B25" s="103">
        <v>130</v>
      </c>
      <c r="C25" s="38" t="s">
        <v>755</v>
      </c>
      <c r="D25" s="80">
        <v>192168254130</v>
      </c>
      <c r="E25" s="80">
        <v>2</v>
      </c>
      <c r="F25" s="80">
        <v>9</v>
      </c>
      <c r="G25" s="38">
        <v>1000</v>
      </c>
      <c r="H25" s="38"/>
      <c r="I25" s="70" t="s">
        <v>1578</v>
      </c>
      <c r="J25" s="38" t="s">
        <v>77</v>
      </c>
      <c r="K25" s="350" t="s">
        <v>338</v>
      </c>
    </row>
    <row r="26" spans="1:11" x14ac:dyDescent="0.25">
      <c r="A26" s="80">
        <v>192168254215</v>
      </c>
      <c r="B26" s="103">
        <v>215</v>
      </c>
      <c r="C26" s="38" t="s">
        <v>1488</v>
      </c>
      <c r="D26" s="80">
        <v>192168254215</v>
      </c>
      <c r="E26" s="80">
        <v>2</v>
      </c>
      <c r="F26" s="80">
        <v>17</v>
      </c>
      <c r="G26" s="38">
        <v>1000</v>
      </c>
      <c r="H26" s="38"/>
      <c r="I26" s="70" t="s">
        <v>674</v>
      </c>
      <c r="J26" s="38" t="s">
        <v>80</v>
      </c>
      <c r="K26" s="333" t="s">
        <v>1626</v>
      </c>
    </row>
    <row r="27" spans="1:11" x14ac:dyDescent="0.25">
      <c r="A27" s="80">
        <v>192168254128</v>
      </c>
      <c r="B27" s="103">
        <v>128</v>
      </c>
      <c r="C27" s="38" t="s">
        <v>1361</v>
      </c>
      <c r="D27" s="80">
        <v>192168254128</v>
      </c>
      <c r="E27" s="38">
        <v>2</v>
      </c>
      <c r="F27" s="38">
        <v>15</v>
      </c>
      <c r="G27" s="38">
        <v>1000</v>
      </c>
      <c r="H27" s="38"/>
      <c r="I27" s="70" t="s">
        <v>973</v>
      </c>
      <c r="J27" s="38" t="s">
        <v>58</v>
      </c>
      <c r="K27" s="333" t="s">
        <v>338</v>
      </c>
    </row>
    <row r="28" spans="1:11" x14ac:dyDescent="0.25">
      <c r="A28" s="84" t="s">
        <v>117</v>
      </c>
      <c r="B28" s="103">
        <v>82</v>
      </c>
      <c r="C28" s="38" t="s">
        <v>1362</v>
      </c>
      <c r="D28" s="84" t="s">
        <v>117</v>
      </c>
      <c r="E28" s="38">
        <v>2</v>
      </c>
      <c r="F28" s="38">
        <v>18</v>
      </c>
      <c r="G28" s="38">
        <v>1000</v>
      </c>
      <c r="H28" s="38"/>
      <c r="I28" s="70" t="s">
        <v>236</v>
      </c>
      <c r="J28" s="38" t="s">
        <v>58</v>
      </c>
      <c r="K28" s="333" t="s">
        <v>338</v>
      </c>
    </row>
    <row r="29" spans="1:11" x14ac:dyDescent="0.25">
      <c r="A29" s="84">
        <v>192168254152</v>
      </c>
      <c r="B29" s="103">
        <v>152</v>
      </c>
      <c r="C29" s="38" t="s">
        <v>355</v>
      </c>
      <c r="D29" s="84">
        <v>192168254152</v>
      </c>
      <c r="E29" s="38">
        <v>1</v>
      </c>
      <c r="F29" s="38">
        <v>27</v>
      </c>
      <c r="G29" s="38">
        <v>1000</v>
      </c>
      <c r="H29" s="38"/>
      <c r="I29" s="70" t="s">
        <v>197</v>
      </c>
      <c r="J29" s="38" t="s">
        <v>23</v>
      </c>
      <c r="K29" s="333" t="s">
        <v>338</v>
      </c>
    </row>
    <row r="30" spans="1:11" x14ac:dyDescent="0.25">
      <c r="A30" s="80">
        <v>192168254113</v>
      </c>
      <c r="B30" s="103">
        <v>113</v>
      </c>
      <c r="C30" s="38" t="s">
        <v>1351</v>
      </c>
      <c r="D30" s="80">
        <v>192168254113</v>
      </c>
      <c r="E30" s="80">
        <v>2</v>
      </c>
      <c r="F30" s="80">
        <v>14</v>
      </c>
      <c r="G30" s="38">
        <v>1000</v>
      </c>
      <c r="H30" s="38"/>
      <c r="I30" s="70" t="s">
        <v>1349</v>
      </c>
      <c r="J30" s="38" t="s">
        <v>23</v>
      </c>
      <c r="K30" s="333" t="s">
        <v>338</v>
      </c>
    </row>
    <row r="31" spans="1:11" x14ac:dyDescent="0.25">
      <c r="A31" s="72">
        <v>192168254183</v>
      </c>
      <c r="B31" s="103">
        <v>183</v>
      </c>
      <c r="C31" s="69" t="s">
        <v>1398</v>
      </c>
      <c r="D31" s="72">
        <v>192168254183</v>
      </c>
      <c r="E31" s="80">
        <v>1</v>
      </c>
      <c r="F31" s="80">
        <v>13</v>
      </c>
      <c r="G31" s="38">
        <v>1000</v>
      </c>
      <c r="H31" s="38"/>
      <c r="I31" s="70" t="s">
        <v>783</v>
      </c>
      <c r="J31" s="38" t="s">
        <v>73</v>
      </c>
      <c r="K31" s="333" t="s">
        <v>338</v>
      </c>
    </row>
    <row r="32" spans="1:11" x14ac:dyDescent="0.25">
      <c r="A32" s="80">
        <v>192168254208</v>
      </c>
      <c r="B32" s="103">
        <v>208</v>
      </c>
      <c r="C32" s="38" t="s">
        <v>971</v>
      </c>
      <c r="D32" s="80">
        <v>192168254208</v>
      </c>
      <c r="E32" s="38">
        <v>1</v>
      </c>
      <c r="F32" s="38">
        <v>25</v>
      </c>
      <c r="G32" s="38">
        <v>1000</v>
      </c>
      <c r="H32" s="38"/>
      <c r="I32" s="70" t="s">
        <v>1566</v>
      </c>
      <c r="J32" s="38" t="s">
        <v>56</v>
      </c>
      <c r="K32" s="333" t="s">
        <v>338</v>
      </c>
    </row>
    <row r="33" spans="1:11" x14ac:dyDescent="0.25">
      <c r="A33" s="84">
        <v>192168254150</v>
      </c>
      <c r="B33" s="103">
        <v>150</v>
      </c>
      <c r="C33" s="38" t="s">
        <v>245</v>
      </c>
      <c r="D33" s="84">
        <v>192168254150</v>
      </c>
      <c r="E33" s="38">
        <v>1</v>
      </c>
      <c r="F33" s="38">
        <v>32</v>
      </c>
      <c r="G33" s="79">
        <v>100</v>
      </c>
      <c r="H33" s="79"/>
      <c r="I33" s="70" t="s">
        <v>761</v>
      </c>
      <c r="J33" s="38" t="s">
        <v>245</v>
      </c>
      <c r="K33" s="333" t="s">
        <v>338</v>
      </c>
    </row>
    <row r="34" spans="1:11" x14ac:dyDescent="0.25">
      <c r="A34" s="80">
        <v>192168254162</v>
      </c>
      <c r="B34" s="103">
        <v>162</v>
      </c>
      <c r="C34" s="38" t="s">
        <v>1353</v>
      </c>
      <c r="D34" s="80">
        <v>192168254162</v>
      </c>
      <c r="E34" s="38">
        <v>1</v>
      </c>
      <c r="F34" s="38">
        <v>11</v>
      </c>
      <c r="G34" s="38">
        <v>1000</v>
      </c>
      <c r="H34" s="38"/>
      <c r="I34" s="70" t="s">
        <v>758</v>
      </c>
      <c r="J34" s="38" t="s">
        <v>67</v>
      </c>
      <c r="K34" s="333" t="s">
        <v>338</v>
      </c>
    </row>
    <row r="35" spans="1:11" x14ac:dyDescent="0.25">
      <c r="A35" s="80">
        <v>192168254189</v>
      </c>
      <c r="B35" s="103">
        <v>189</v>
      </c>
      <c r="C35" s="38" t="s">
        <v>1352</v>
      </c>
      <c r="D35" s="80">
        <v>192168254189</v>
      </c>
      <c r="E35" s="38">
        <v>2</v>
      </c>
      <c r="F35" s="38">
        <v>6</v>
      </c>
      <c r="G35" s="38">
        <v>1000</v>
      </c>
      <c r="H35" s="38"/>
      <c r="I35" s="70" t="s">
        <v>500</v>
      </c>
      <c r="J35" s="38" t="s">
        <v>70</v>
      </c>
      <c r="K35" s="333" t="s">
        <v>338</v>
      </c>
    </row>
    <row r="36" spans="1:11" x14ac:dyDescent="0.25">
      <c r="A36" s="80" t="s">
        <v>1492</v>
      </c>
      <c r="B36" s="103">
        <v>24</v>
      </c>
      <c r="C36" s="38" t="s">
        <v>1532</v>
      </c>
      <c r="D36" s="80" t="s">
        <v>1492</v>
      </c>
      <c r="E36" s="72">
        <v>2</v>
      </c>
      <c r="F36" s="72">
        <v>30</v>
      </c>
      <c r="G36" s="38">
        <v>1000</v>
      </c>
      <c r="H36" s="69" t="s">
        <v>1124</v>
      </c>
      <c r="I36" s="73" t="s">
        <v>171</v>
      </c>
      <c r="J36" s="69" t="s">
        <v>172</v>
      </c>
      <c r="K36" s="86" t="s">
        <v>338</v>
      </c>
    </row>
    <row r="37" spans="1:11" x14ac:dyDescent="0.25">
      <c r="A37" s="80">
        <v>192168254146</v>
      </c>
      <c r="B37" s="103">
        <v>146</v>
      </c>
      <c r="C37" s="38" t="s">
        <v>125</v>
      </c>
      <c r="D37" s="80">
        <v>192168254146</v>
      </c>
      <c r="E37" s="80">
        <v>1</v>
      </c>
      <c r="F37" s="80">
        <v>12</v>
      </c>
      <c r="G37" s="38">
        <v>1000</v>
      </c>
      <c r="H37" s="38" t="s">
        <v>1092</v>
      </c>
      <c r="I37" s="70" t="s">
        <v>127</v>
      </c>
      <c r="J37" s="38" t="s">
        <v>18</v>
      </c>
      <c r="K37" s="86" t="s">
        <v>338</v>
      </c>
    </row>
    <row r="38" spans="1:11" x14ac:dyDescent="0.25">
      <c r="A38" s="76">
        <v>192168254180</v>
      </c>
      <c r="B38" s="103">
        <v>180</v>
      </c>
      <c r="C38" s="75" t="s">
        <v>676</v>
      </c>
      <c r="D38" s="76">
        <v>192168254180</v>
      </c>
      <c r="E38" s="76">
        <v>1</v>
      </c>
      <c r="F38" s="76">
        <v>23</v>
      </c>
      <c r="G38" s="38">
        <v>1000</v>
      </c>
      <c r="H38" s="38" t="s">
        <v>1101</v>
      </c>
      <c r="I38" s="116" t="s">
        <v>96</v>
      </c>
      <c r="J38" s="75" t="s">
        <v>18</v>
      </c>
      <c r="K38" s="86" t="s">
        <v>338</v>
      </c>
    </row>
    <row r="39" spans="1:11" x14ac:dyDescent="0.25">
      <c r="A39" s="80">
        <v>192168254107</v>
      </c>
      <c r="B39" s="103">
        <v>107</v>
      </c>
      <c r="C39" s="38" t="s">
        <v>100</v>
      </c>
      <c r="D39" s="80">
        <v>192168254107</v>
      </c>
      <c r="E39" s="80">
        <v>2</v>
      </c>
      <c r="F39" s="80">
        <v>3</v>
      </c>
      <c r="G39" s="75">
        <v>1000</v>
      </c>
      <c r="H39" s="75" t="s">
        <v>1116</v>
      </c>
      <c r="I39" s="70" t="s">
        <v>189</v>
      </c>
      <c r="J39" s="38" t="s">
        <v>176</v>
      </c>
      <c r="K39" s="86" t="s">
        <v>338</v>
      </c>
    </row>
    <row r="40" spans="1:11" x14ac:dyDescent="0.25">
      <c r="A40" s="357">
        <v>192168254125</v>
      </c>
      <c r="B40" s="370">
        <v>125</v>
      </c>
      <c r="C40" s="251" t="s">
        <v>188</v>
      </c>
      <c r="D40" s="357">
        <v>192168254125</v>
      </c>
      <c r="E40" s="357">
        <v>2</v>
      </c>
      <c r="F40" s="357">
        <v>4</v>
      </c>
      <c r="G40" s="251">
        <v>1000</v>
      </c>
      <c r="H40" s="251" t="s">
        <v>1117</v>
      </c>
      <c r="I40" s="354" t="s">
        <v>1027</v>
      </c>
      <c r="J40" s="251" t="s">
        <v>176</v>
      </c>
      <c r="K40" s="356" t="s">
        <v>1626</v>
      </c>
    </row>
    <row r="41" spans="1:11" x14ac:dyDescent="0.25">
      <c r="A41" s="80">
        <v>192168254221</v>
      </c>
      <c r="B41" s="103">
        <v>221</v>
      </c>
      <c r="C41" s="38" t="s">
        <v>47</v>
      </c>
      <c r="D41" s="80">
        <v>192168254221</v>
      </c>
      <c r="E41" s="80">
        <v>1</v>
      </c>
      <c r="F41" s="80">
        <v>17</v>
      </c>
      <c r="G41" s="38">
        <v>1000</v>
      </c>
      <c r="H41" s="38" t="s">
        <v>1097</v>
      </c>
      <c r="I41" s="70" t="s">
        <v>492</v>
      </c>
      <c r="J41" s="38" t="s">
        <v>18</v>
      </c>
      <c r="K41" s="38" t="s">
        <v>338</v>
      </c>
    </row>
    <row r="42" spans="1:11" x14ac:dyDescent="0.25">
      <c r="A42" s="80">
        <v>192168254147</v>
      </c>
      <c r="B42" s="103">
        <v>147</v>
      </c>
      <c r="C42" s="38" t="s">
        <v>34</v>
      </c>
      <c r="D42" s="80">
        <v>192168254147</v>
      </c>
      <c r="E42" s="80">
        <v>1</v>
      </c>
      <c r="F42" s="80">
        <v>16</v>
      </c>
      <c r="G42" s="38">
        <v>1000</v>
      </c>
      <c r="H42" s="38" t="s">
        <v>1094</v>
      </c>
      <c r="I42" s="70" t="s">
        <v>239</v>
      </c>
      <c r="J42" s="38" t="s">
        <v>18</v>
      </c>
      <c r="K42" s="38" t="s">
        <v>338</v>
      </c>
    </row>
    <row r="43" spans="1:11" x14ac:dyDescent="0.25">
      <c r="A43" s="84">
        <v>192168254229</v>
      </c>
      <c r="B43" s="103">
        <v>229</v>
      </c>
      <c r="C43" s="38" t="s">
        <v>230</v>
      </c>
      <c r="D43" s="84">
        <v>192168254229</v>
      </c>
      <c r="E43" s="38">
        <v>1</v>
      </c>
      <c r="F43" s="38">
        <v>45</v>
      </c>
      <c r="G43" s="38">
        <v>1000</v>
      </c>
      <c r="H43" s="38" t="s">
        <v>1115</v>
      </c>
      <c r="I43" s="70" t="s">
        <v>61</v>
      </c>
      <c r="J43" s="38" t="s">
        <v>18</v>
      </c>
      <c r="K43" s="38" t="s">
        <v>338</v>
      </c>
    </row>
    <row r="44" spans="1:11" x14ac:dyDescent="0.25">
      <c r="A44" s="38" t="s">
        <v>727</v>
      </c>
      <c r="B44" s="103">
        <v>96</v>
      </c>
      <c r="C44" s="38" t="s">
        <v>726</v>
      </c>
      <c r="D44" s="38" t="s">
        <v>727</v>
      </c>
      <c r="E44" s="83">
        <v>1</v>
      </c>
      <c r="F44" s="83">
        <v>43</v>
      </c>
      <c r="G44" s="38">
        <v>1000</v>
      </c>
      <c r="H44" s="38" t="s">
        <v>1114</v>
      </c>
      <c r="I44" s="70" t="s">
        <v>84</v>
      </c>
      <c r="J44" s="38" t="s">
        <v>18</v>
      </c>
      <c r="K44" s="38" t="s">
        <v>338</v>
      </c>
    </row>
    <row r="45" spans="1:11" x14ac:dyDescent="0.25">
      <c r="A45" s="80" t="s">
        <v>729</v>
      </c>
      <c r="B45" s="103">
        <v>98</v>
      </c>
      <c r="C45" s="38" t="s">
        <v>730</v>
      </c>
      <c r="D45" s="80" t="s">
        <v>729</v>
      </c>
      <c r="E45" s="80">
        <v>1</v>
      </c>
      <c r="F45" s="80">
        <v>40</v>
      </c>
      <c r="G45" s="38">
        <v>1000</v>
      </c>
      <c r="H45" s="38" t="s">
        <v>1112</v>
      </c>
      <c r="I45" s="70" t="s">
        <v>134</v>
      </c>
      <c r="J45" s="38" t="s">
        <v>18</v>
      </c>
      <c r="K45" s="38" t="s">
        <v>338</v>
      </c>
    </row>
    <row r="46" spans="1:11" x14ac:dyDescent="0.25">
      <c r="A46" s="83" t="s">
        <v>728</v>
      </c>
      <c r="B46" s="103">
        <v>97</v>
      </c>
      <c r="C46" s="38" t="s">
        <v>740</v>
      </c>
      <c r="D46" s="83" t="s">
        <v>728</v>
      </c>
      <c r="E46" s="83">
        <v>1</v>
      </c>
      <c r="F46" s="83">
        <v>36</v>
      </c>
      <c r="G46" s="38">
        <v>1000</v>
      </c>
      <c r="H46" s="38" t="s">
        <v>1108</v>
      </c>
      <c r="I46" s="70" t="s">
        <v>739</v>
      </c>
      <c r="J46" s="38" t="s">
        <v>114</v>
      </c>
      <c r="K46" s="86" t="s">
        <v>338</v>
      </c>
    </row>
    <row r="47" spans="1:11" x14ac:dyDescent="0.25">
      <c r="A47" s="80">
        <v>192168254185</v>
      </c>
      <c r="B47" s="103">
        <v>185</v>
      </c>
      <c r="C47" s="38" t="s">
        <v>112</v>
      </c>
      <c r="D47" s="80">
        <v>192168254185</v>
      </c>
      <c r="E47" s="80">
        <v>1</v>
      </c>
      <c r="F47" s="80">
        <v>37</v>
      </c>
      <c r="G47" s="38">
        <v>1000</v>
      </c>
      <c r="H47" s="38" t="s">
        <v>1109</v>
      </c>
      <c r="I47" s="70" t="s">
        <v>715</v>
      </c>
      <c r="J47" s="38" t="s">
        <v>114</v>
      </c>
      <c r="K47" s="86" t="s">
        <v>338</v>
      </c>
    </row>
    <row r="48" spans="1:11" x14ac:dyDescent="0.25">
      <c r="A48" s="80">
        <v>192168254148</v>
      </c>
      <c r="B48" s="103">
        <v>148</v>
      </c>
      <c r="C48" s="38" t="s">
        <v>319</v>
      </c>
      <c r="D48" s="80">
        <v>192168254148</v>
      </c>
      <c r="E48" s="80">
        <v>1</v>
      </c>
      <c r="F48" s="80">
        <v>6</v>
      </c>
      <c r="G48" s="38">
        <v>1000</v>
      </c>
      <c r="H48" s="38" t="s">
        <v>1089</v>
      </c>
      <c r="I48" s="70" t="s">
        <v>237</v>
      </c>
      <c r="J48" s="38" t="s">
        <v>49</v>
      </c>
      <c r="K48" s="86" t="s">
        <v>338</v>
      </c>
    </row>
    <row r="49" spans="1:11" x14ac:dyDescent="0.25">
      <c r="A49" s="80">
        <v>192168254181</v>
      </c>
      <c r="B49" s="103">
        <v>181</v>
      </c>
      <c r="C49" s="38" t="s">
        <v>1345</v>
      </c>
      <c r="D49" s="80">
        <v>192168254181</v>
      </c>
      <c r="E49" s="72">
        <v>1</v>
      </c>
      <c r="F49" s="72">
        <v>9</v>
      </c>
      <c r="G49" s="38">
        <v>1000</v>
      </c>
      <c r="H49" s="38" t="s">
        <v>1091</v>
      </c>
      <c r="I49" s="73" t="s">
        <v>113</v>
      </c>
      <c r="J49" s="38" t="s">
        <v>49</v>
      </c>
      <c r="K49" s="86" t="s">
        <v>338</v>
      </c>
    </row>
    <row r="50" spans="1:11" x14ac:dyDescent="0.25">
      <c r="A50" s="80">
        <v>192168254149</v>
      </c>
      <c r="B50" s="103">
        <v>149</v>
      </c>
      <c r="C50" s="38" t="s">
        <v>35</v>
      </c>
      <c r="D50" s="80">
        <v>192168254149</v>
      </c>
      <c r="E50" s="80">
        <v>1</v>
      </c>
      <c r="F50" s="80">
        <v>5</v>
      </c>
      <c r="G50" s="38">
        <v>1000</v>
      </c>
      <c r="H50" s="38" t="s">
        <v>1088</v>
      </c>
      <c r="I50" s="70" t="s">
        <v>142</v>
      </c>
      <c r="J50" s="38" t="s">
        <v>49</v>
      </c>
      <c r="K50" s="86" t="s">
        <v>338</v>
      </c>
    </row>
    <row r="51" spans="1:11" x14ac:dyDescent="0.25">
      <c r="A51" s="76">
        <v>192168254132</v>
      </c>
      <c r="B51" s="103">
        <v>132</v>
      </c>
      <c r="C51" s="75" t="s">
        <v>151</v>
      </c>
      <c r="D51" s="76">
        <v>192168254132</v>
      </c>
      <c r="E51" s="80">
        <v>1</v>
      </c>
      <c r="F51" s="80">
        <v>28</v>
      </c>
      <c r="G51" s="38">
        <v>1000</v>
      </c>
      <c r="H51" s="38" t="s">
        <v>1103</v>
      </c>
      <c r="I51" s="116" t="s">
        <v>1577</v>
      </c>
      <c r="J51" s="75" t="s">
        <v>990</v>
      </c>
      <c r="K51" s="86" t="s">
        <v>338</v>
      </c>
    </row>
    <row r="52" spans="1:11" s="123" customFormat="1" x14ac:dyDescent="0.25">
      <c r="A52" s="376" t="s">
        <v>1491</v>
      </c>
      <c r="B52" s="374">
        <v>23</v>
      </c>
      <c r="C52" s="375" t="s">
        <v>1489</v>
      </c>
      <c r="D52" s="376" t="s">
        <v>1491</v>
      </c>
      <c r="E52" s="377"/>
      <c r="F52" s="377"/>
      <c r="G52" s="375">
        <v>1000</v>
      </c>
      <c r="H52" s="375" t="s">
        <v>1107</v>
      </c>
      <c r="I52" s="378" t="s">
        <v>1440</v>
      </c>
      <c r="J52" s="375" t="s">
        <v>18</v>
      </c>
      <c r="K52" s="379" t="s">
        <v>1626</v>
      </c>
    </row>
    <row r="53" spans="1:11" x14ac:dyDescent="0.25">
      <c r="A53" s="80" t="s">
        <v>1227</v>
      </c>
      <c r="B53" s="103">
        <v>12</v>
      </c>
      <c r="C53" s="38" t="s">
        <v>1297</v>
      </c>
      <c r="D53" s="80" t="s">
        <v>1227</v>
      </c>
      <c r="E53" s="80">
        <v>1</v>
      </c>
      <c r="F53" s="80">
        <v>30</v>
      </c>
      <c r="G53" s="38">
        <v>1000</v>
      </c>
      <c r="H53" s="38" t="s">
        <v>1106</v>
      </c>
      <c r="I53" s="70" t="s">
        <v>345</v>
      </c>
      <c r="J53" s="38" t="s">
        <v>49</v>
      </c>
      <c r="K53" s="86" t="s">
        <v>338</v>
      </c>
    </row>
    <row r="54" spans="1:11" x14ac:dyDescent="0.25">
      <c r="A54" s="80" t="s">
        <v>1228</v>
      </c>
      <c r="B54" s="103">
        <v>13</v>
      </c>
      <c r="C54" s="38" t="s">
        <v>1305</v>
      </c>
      <c r="D54" s="80" t="s">
        <v>1228</v>
      </c>
      <c r="E54" s="80">
        <v>1</v>
      </c>
      <c r="F54" s="80">
        <v>20</v>
      </c>
      <c r="G54" s="38">
        <v>1000</v>
      </c>
      <c r="H54" s="38" t="s">
        <v>1099</v>
      </c>
      <c r="I54" s="70" t="s">
        <v>324</v>
      </c>
      <c r="J54" s="38" t="s">
        <v>18</v>
      </c>
      <c r="K54" s="86" t="s">
        <v>338</v>
      </c>
    </row>
    <row r="55" spans="1:11" x14ac:dyDescent="0.25">
      <c r="A55" s="80" t="s">
        <v>1229</v>
      </c>
      <c r="B55" s="103">
        <v>14</v>
      </c>
      <c r="C55" s="38" t="s">
        <v>1306</v>
      </c>
      <c r="D55" s="80" t="s">
        <v>1229</v>
      </c>
      <c r="E55" s="80">
        <v>1</v>
      </c>
      <c r="F55" s="80">
        <v>18</v>
      </c>
      <c r="G55" s="38">
        <v>1000</v>
      </c>
      <c r="H55" s="38" t="s">
        <v>1096</v>
      </c>
      <c r="I55" s="70" t="s">
        <v>200</v>
      </c>
      <c r="J55" s="38" t="s">
        <v>18</v>
      </c>
      <c r="K55" s="86" t="s">
        <v>338</v>
      </c>
    </row>
    <row r="56" spans="1:11" x14ac:dyDescent="0.25">
      <c r="A56" s="80" t="s">
        <v>33</v>
      </c>
      <c r="B56" s="103">
        <v>15</v>
      </c>
      <c r="C56" s="38" t="s">
        <v>313</v>
      </c>
      <c r="D56" s="80" t="s">
        <v>33</v>
      </c>
      <c r="E56" s="76">
        <v>1</v>
      </c>
      <c r="F56" s="76">
        <v>22</v>
      </c>
      <c r="G56" s="38">
        <v>1000</v>
      </c>
      <c r="H56" s="38" t="s">
        <v>1100</v>
      </c>
      <c r="I56" s="198" t="s">
        <v>554</v>
      </c>
      <c r="J56" s="75" t="s">
        <v>18</v>
      </c>
      <c r="K56" s="86" t="s">
        <v>338</v>
      </c>
    </row>
    <row r="57" spans="1:11" x14ac:dyDescent="0.25">
      <c r="A57" s="212" t="s">
        <v>42</v>
      </c>
      <c r="B57" s="381">
        <v>71</v>
      </c>
      <c r="C57" s="212" t="s">
        <v>41</v>
      </c>
      <c r="D57" s="212" t="s">
        <v>42</v>
      </c>
      <c r="E57" s="217"/>
      <c r="F57" s="217"/>
      <c r="G57" s="212">
        <v>1000</v>
      </c>
      <c r="H57" s="212" t="s">
        <v>1111</v>
      </c>
      <c r="I57" s="214" t="s">
        <v>1439</v>
      </c>
      <c r="J57" s="212" t="s">
        <v>18</v>
      </c>
      <c r="K57" s="215"/>
    </row>
    <row r="58" spans="1:11" x14ac:dyDescent="0.25">
      <c r="A58" s="80" t="s">
        <v>1230</v>
      </c>
      <c r="B58" s="103">
        <v>16</v>
      </c>
      <c r="C58" s="38" t="s">
        <v>1310</v>
      </c>
      <c r="D58" s="80" t="s">
        <v>1230</v>
      </c>
      <c r="E58" s="80">
        <v>1</v>
      </c>
      <c r="F58" s="80">
        <v>38</v>
      </c>
      <c r="G58" s="38">
        <v>1000</v>
      </c>
      <c r="H58" s="38" t="s">
        <v>1110</v>
      </c>
      <c r="I58" s="70" t="s">
        <v>510</v>
      </c>
      <c r="J58" s="38" t="s">
        <v>114</v>
      </c>
      <c r="K58" s="86" t="s">
        <v>338</v>
      </c>
    </row>
    <row r="59" spans="1:11" x14ac:dyDescent="0.25">
      <c r="A59" s="80" t="s">
        <v>1231</v>
      </c>
      <c r="B59" s="103">
        <v>17</v>
      </c>
      <c r="C59" s="38" t="s">
        <v>1311</v>
      </c>
      <c r="D59" s="80" t="s">
        <v>1231</v>
      </c>
      <c r="E59" s="38">
        <v>1</v>
      </c>
      <c r="F59" s="38">
        <v>21</v>
      </c>
      <c r="G59" s="38">
        <v>1000</v>
      </c>
      <c r="H59" s="38" t="s">
        <v>1098</v>
      </c>
      <c r="I59" s="70" t="s">
        <v>999</v>
      </c>
      <c r="J59" s="38" t="s">
        <v>18</v>
      </c>
      <c r="K59" s="86" t="s">
        <v>338</v>
      </c>
    </row>
    <row r="60" spans="1:11" x14ac:dyDescent="0.25">
      <c r="A60" s="80" t="s">
        <v>1232</v>
      </c>
      <c r="B60" s="103">
        <v>18</v>
      </c>
      <c r="C60" s="38" t="s">
        <v>1312</v>
      </c>
      <c r="D60" s="80" t="s">
        <v>1232</v>
      </c>
      <c r="E60" s="80">
        <v>1</v>
      </c>
      <c r="F60" s="80">
        <v>42</v>
      </c>
      <c r="G60" s="38">
        <v>1000</v>
      </c>
      <c r="H60" s="38" t="s">
        <v>1113</v>
      </c>
      <c r="I60" s="70" t="s">
        <v>137</v>
      </c>
      <c r="J60" s="38" t="s">
        <v>18</v>
      </c>
      <c r="K60" s="86" t="s">
        <v>338</v>
      </c>
    </row>
    <row r="61" spans="1:11" x14ac:dyDescent="0.25">
      <c r="A61" s="80" t="s">
        <v>1233</v>
      </c>
      <c r="B61" s="103">
        <v>19</v>
      </c>
      <c r="C61" s="38" t="s">
        <v>1313</v>
      </c>
      <c r="D61" s="80" t="s">
        <v>1233</v>
      </c>
      <c r="E61" s="80">
        <v>1</v>
      </c>
      <c r="F61" s="80">
        <v>19</v>
      </c>
      <c r="G61" s="38">
        <v>1000</v>
      </c>
      <c r="H61" s="38" t="s">
        <v>1095</v>
      </c>
      <c r="I61" s="70" t="s">
        <v>963</v>
      </c>
      <c r="J61" s="38" t="s">
        <v>18</v>
      </c>
      <c r="K61" s="86" t="s">
        <v>338</v>
      </c>
    </row>
    <row r="62" spans="1:11" x14ac:dyDescent="0.25">
      <c r="A62" s="80" t="s">
        <v>1234</v>
      </c>
      <c r="B62" s="103">
        <v>20</v>
      </c>
      <c r="C62" s="38" t="s">
        <v>1314</v>
      </c>
      <c r="D62" s="80" t="s">
        <v>1234</v>
      </c>
      <c r="E62" s="80">
        <v>1</v>
      </c>
      <c r="F62" s="80">
        <v>14</v>
      </c>
      <c r="G62" s="38">
        <v>1000</v>
      </c>
      <c r="H62" s="38" t="s">
        <v>1093</v>
      </c>
      <c r="I62" s="70" t="s">
        <v>244</v>
      </c>
      <c r="J62" s="38" t="s">
        <v>18</v>
      </c>
      <c r="K62" s="86" t="s">
        <v>338</v>
      </c>
    </row>
    <row r="63" spans="1:11" x14ac:dyDescent="0.25">
      <c r="A63" s="80" t="s">
        <v>1235</v>
      </c>
      <c r="B63" s="103">
        <v>21</v>
      </c>
      <c r="C63" s="38" t="s">
        <v>1338</v>
      </c>
      <c r="D63" s="80" t="s">
        <v>1235</v>
      </c>
      <c r="E63" s="80">
        <v>1</v>
      </c>
      <c r="F63" s="80">
        <v>8</v>
      </c>
      <c r="G63" s="38">
        <v>1000</v>
      </c>
      <c r="H63" s="38" t="s">
        <v>1090</v>
      </c>
      <c r="I63" s="70" t="s">
        <v>1028</v>
      </c>
      <c r="J63" s="38" t="s">
        <v>49</v>
      </c>
      <c r="K63" s="86" t="s">
        <v>338</v>
      </c>
    </row>
    <row r="64" spans="1:11" x14ac:dyDescent="0.25">
      <c r="A64" s="80">
        <v>192168254191</v>
      </c>
      <c r="B64" s="103">
        <v>191</v>
      </c>
      <c r="C64" s="38" t="s">
        <v>581</v>
      </c>
      <c r="D64" s="80">
        <v>192168254191</v>
      </c>
      <c r="E64" s="80"/>
      <c r="F64" s="80"/>
      <c r="G64" s="38">
        <v>1000</v>
      </c>
      <c r="H64" s="38" t="s">
        <v>1524</v>
      </c>
      <c r="I64" s="70" t="s">
        <v>511</v>
      </c>
      <c r="J64" s="38" t="s">
        <v>172</v>
      </c>
      <c r="K64" s="86" t="s">
        <v>338</v>
      </c>
    </row>
    <row r="65" spans="1:11" x14ac:dyDescent="0.25">
      <c r="A65" s="84" t="s">
        <v>1521</v>
      </c>
      <c r="B65" s="103">
        <v>81</v>
      </c>
      <c r="C65" s="38" t="s">
        <v>178</v>
      </c>
      <c r="D65" s="84" t="s">
        <v>1521</v>
      </c>
      <c r="E65" s="80"/>
      <c r="F65" s="80"/>
      <c r="G65" s="38">
        <v>1000</v>
      </c>
      <c r="H65" s="38" t="s">
        <v>1525</v>
      </c>
      <c r="I65" s="70" t="s">
        <v>171</v>
      </c>
      <c r="J65" s="38" t="s">
        <v>172</v>
      </c>
      <c r="K65" s="86" t="s">
        <v>338</v>
      </c>
    </row>
    <row r="66" spans="1:11" x14ac:dyDescent="0.25">
      <c r="A66" s="84">
        <v>192168254230</v>
      </c>
      <c r="B66" s="103">
        <v>230</v>
      </c>
      <c r="C66" s="38" t="s">
        <v>181</v>
      </c>
      <c r="D66" s="84">
        <v>192168254230</v>
      </c>
      <c r="E66" s="38"/>
      <c r="F66" s="38"/>
      <c r="G66" s="38">
        <v>1000</v>
      </c>
      <c r="H66" s="38" t="s">
        <v>1526</v>
      </c>
      <c r="I66" s="70" t="s">
        <v>179</v>
      </c>
      <c r="J66" s="38" t="s">
        <v>172</v>
      </c>
      <c r="K66" s="86" t="s">
        <v>338</v>
      </c>
    </row>
    <row r="67" spans="1:11" x14ac:dyDescent="0.25">
      <c r="A67" s="38" t="s">
        <v>40</v>
      </c>
      <c r="B67" s="103">
        <v>59</v>
      </c>
      <c r="C67" s="38" t="s">
        <v>39</v>
      </c>
      <c r="D67" s="38" t="s">
        <v>40</v>
      </c>
      <c r="E67" s="38"/>
      <c r="F67" s="38"/>
      <c r="G67" s="38">
        <v>1000</v>
      </c>
      <c r="H67" s="38" t="s">
        <v>1128</v>
      </c>
      <c r="I67" s="70" t="s">
        <v>186</v>
      </c>
      <c r="J67" s="38" t="s">
        <v>185</v>
      </c>
      <c r="K67" s="86" t="s">
        <v>338</v>
      </c>
    </row>
    <row r="68" spans="1:11" x14ac:dyDescent="0.25">
      <c r="A68" s="80">
        <v>192168254176</v>
      </c>
      <c r="B68" s="103">
        <v>176</v>
      </c>
      <c r="C68" s="38" t="s">
        <v>158</v>
      </c>
      <c r="D68" s="80">
        <v>192168254176</v>
      </c>
      <c r="E68" s="80"/>
      <c r="F68" s="80"/>
      <c r="G68" s="38">
        <v>1000</v>
      </c>
      <c r="H68" s="38" t="s">
        <v>1133</v>
      </c>
      <c r="I68" s="70" t="s">
        <v>512</v>
      </c>
      <c r="J68" s="38" t="s">
        <v>93</v>
      </c>
      <c r="K68" s="86" t="s">
        <v>338</v>
      </c>
    </row>
    <row r="69" spans="1:11" x14ac:dyDescent="0.25">
      <c r="A69" s="80">
        <v>192168254177</v>
      </c>
      <c r="B69" s="103">
        <v>177</v>
      </c>
      <c r="C69" s="38" t="s">
        <v>92</v>
      </c>
      <c r="D69" s="80">
        <v>192168254177</v>
      </c>
      <c r="E69" s="80"/>
      <c r="F69" s="80"/>
      <c r="G69" s="38">
        <v>1000</v>
      </c>
      <c r="H69" s="38" t="s">
        <v>1132</v>
      </c>
      <c r="I69" s="70" t="s">
        <v>139</v>
      </c>
      <c r="J69" s="38" t="s">
        <v>93</v>
      </c>
      <c r="K69" s="86" t="s">
        <v>338</v>
      </c>
    </row>
    <row r="70" spans="1:11" x14ac:dyDescent="0.25">
      <c r="A70" s="80" t="s">
        <v>1491</v>
      </c>
      <c r="B70" s="103">
        <v>23</v>
      </c>
      <c r="C70" s="38" t="s">
        <v>1638</v>
      </c>
      <c r="D70" s="80" t="s">
        <v>1491</v>
      </c>
      <c r="E70" s="80"/>
      <c r="F70" s="80"/>
      <c r="G70" s="38">
        <v>1000</v>
      </c>
      <c r="H70" s="38" t="s">
        <v>1132</v>
      </c>
      <c r="I70" s="70" t="s">
        <v>139</v>
      </c>
      <c r="J70" s="38" t="s">
        <v>93</v>
      </c>
      <c r="K70" s="86" t="s">
        <v>338</v>
      </c>
    </row>
    <row r="71" spans="1:11" x14ac:dyDescent="0.25">
      <c r="A71" s="80">
        <v>192168254160</v>
      </c>
      <c r="B71" s="103">
        <v>160</v>
      </c>
      <c r="C71" s="38" t="s">
        <v>45</v>
      </c>
      <c r="D71" s="80">
        <v>192168254160</v>
      </c>
      <c r="E71" s="80"/>
      <c r="F71" s="80"/>
      <c r="G71" s="38">
        <v>1000</v>
      </c>
      <c r="H71" s="38" t="s">
        <v>1131</v>
      </c>
      <c r="I71" s="70" t="s">
        <v>343</v>
      </c>
      <c r="J71" s="38" t="s">
        <v>164</v>
      </c>
      <c r="K71" s="86" t="s">
        <v>338</v>
      </c>
    </row>
    <row r="72" spans="1:11" x14ac:dyDescent="0.25">
      <c r="A72" s="357" t="s">
        <v>162</v>
      </c>
      <c r="B72" s="370">
        <v>62</v>
      </c>
      <c r="C72" s="251" t="s">
        <v>314</v>
      </c>
      <c r="D72" s="357" t="s">
        <v>162</v>
      </c>
      <c r="E72" s="357"/>
      <c r="F72" s="357"/>
      <c r="G72" s="251">
        <v>1000</v>
      </c>
      <c r="H72" s="251" t="s">
        <v>1130</v>
      </c>
      <c r="I72" s="354" t="s">
        <v>337</v>
      </c>
      <c r="J72" s="251" t="s">
        <v>164</v>
      </c>
      <c r="K72" s="356" t="s">
        <v>1626</v>
      </c>
    </row>
    <row r="73" spans="1:11" x14ac:dyDescent="0.25">
      <c r="A73" s="80" t="s">
        <v>162</v>
      </c>
      <c r="B73" s="103">
        <v>62</v>
      </c>
      <c r="C73" s="38" t="s">
        <v>314</v>
      </c>
      <c r="D73" s="80" t="s">
        <v>162</v>
      </c>
      <c r="E73" s="80"/>
      <c r="F73" s="80"/>
      <c r="G73" s="38">
        <v>1000</v>
      </c>
      <c r="H73" s="38" t="s">
        <v>1130</v>
      </c>
      <c r="I73" s="70" t="s">
        <v>795</v>
      </c>
      <c r="J73" s="38" t="s">
        <v>164</v>
      </c>
      <c r="K73" s="86" t="s">
        <v>338</v>
      </c>
    </row>
    <row r="74" spans="1:11" x14ac:dyDescent="0.25">
      <c r="A74" s="80">
        <v>192168254222</v>
      </c>
      <c r="B74" s="103">
        <v>222</v>
      </c>
      <c r="C74" s="38" t="s">
        <v>95</v>
      </c>
      <c r="D74" s="80">
        <v>192168254222</v>
      </c>
      <c r="E74" s="80"/>
      <c r="F74" s="80"/>
      <c r="G74" s="38">
        <v>1000</v>
      </c>
      <c r="H74" s="38" t="s">
        <v>1128</v>
      </c>
      <c r="I74" s="70" t="s">
        <v>1641</v>
      </c>
      <c r="J74" s="38" t="s">
        <v>1640</v>
      </c>
      <c r="K74" s="86" t="s">
        <v>338</v>
      </c>
    </row>
    <row r="75" spans="1:11" x14ac:dyDescent="0.25">
      <c r="A75" s="80">
        <v>192168254179</v>
      </c>
      <c r="B75" s="103">
        <v>179</v>
      </c>
      <c r="C75" s="38" t="s">
        <v>339</v>
      </c>
      <c r="D75" s="80">
        <v>192168254179</v>
      </c>
      <c r="E75" s="80"/>
      <c r="F75" s="80"/>
      <c r="G75" s="38">
        <v>1000</v>
      </c>
      <c r="H75" s="38" t="s">
        <v>1506</v>
      </c>
      <c r="I75" s="70" t="s">
        <v>130</v>
      </c>
      <c r="J75" s="38" t="s">
        <v>123</v>
      </c>
      <c r="K75" s="86" t="s">
        <v>338</v>
      </c>
    </row>
    <row r="76" spans="1:11" x14ac:dyDescent="0.25">
      <c r="A76" s="80" t="s">
        <v>1490</v>
      </c>
      <c r="B76" s="103">
        <v>22</v>
      </c>
      <c r="C76" s="38" t="s">
        <v>121</v>
      </c>
      <c r="D76" s="80" t="s">
        <v>1490</v>
      </c>
      <c r="E76" s="80"/>
      <c r="F76" s="80"/>
      <c r="G76" s="38">
        <v>1000</v>
      </c>
      <c r="H76" s="38" t="s">
        <v>1507</v>
      </c>
      <c r="I76" s="70" t="s">
        <v>202</v>
      </c>
      <c r="J76" s="38" t="s">
        <v>123</v>
      </c>
      <c r="K76" s="86" t="s">
        <v>338</v>
      </c>
    </row>
    <row r="77" spans="1:11" x14ac:dyDescent="0.25">
      <c r="A77" s="357">
        <v>192168254178</v>
      </c>
      <c r="B77" s="370">
        <v>178</v>
      </c>
      <c r="C77" s="251" t="s">
        <v>1565</v>
      </c>
      <c r="D77" s="357">
        <v>192168254178</v>
      </c>
      <c r="E77" s="357"/>
      <c r="F77" s="357"/>
      <c r="G77" s="251">
        <v>1000</v>
      </c>
      <c r="H77" s="251" t="s">
        <v>1128</v>
      </c>
      <c r="I77" s="354" t="s">
        <v>1564</v>
      </c>
      <c r="J77" s="251" t="s">
        <v>205</v>
      </c>
      <c r="K77" s="356" t="s">
        <v>1626</v>
      </c>
    </row>
    <row r="78" spans="1:11" x14ac:dyDescent="0.25">
      <c r="A78" s="80">
        <v>192168254122</v>
      </c>
      <c r="B78" s="103">
        <v>122</v>
      </c>
      <c r="C78" s="38" t="s">
        <v>154</v>
      </c>
      <c r="D78" s="80">
        <v>192168254122</v>
      </c>
      <c r="E78" s="80"/>
      <c r="F78" s="80"/>
      <c r="G78" s="38">
        <v>1000</v>
      </c>
      <c r="H78" s="38" t="s">
        <v>1134</v>
      </c>
      <c r="I78" s="70" t="s">
        <v>155</v>
      </c>
      <c r="J78" s="38" t="s">
        <v>205</v>
      </c>
      <c r="K78" s="350" t="s">
        <v>338</v>
      </c>
    </row>
    <row r="79" spans="1:11" x14ac:dyDescent="0.25">
      <c r="A79" s="357" t="s">
        <v>748</v>
      </c>
      <c r="B79" s="352">
        <v>88</v>
      </c>
      <c r="C79" s="251" t="s">
        <v>1025</v>
      </c>
      <c r="D79" s="357" t="s">
        <v>748</v>
      </c>
      <c r="E79" s="257"/>
      <c r="F79" s="257"/>
      <c r="G79" s="251">
        <v>1000</v>
      </c>
      <c r="H79" s="257"/>
      <c r="I79" s="354" t="s">
        <v>132</v>
      </c>
      <c r="J79" s="251" t="s">
        <v>1032</v>
      </c>
      <c r="K79" s="254" t="s">
        <v>1626</v>
      </c>
    </row>
    <row r="80" spans="1:11" x14ac:dyDescent="0.25">
      <c r="A80" s="357">
        <v>192168254104</v>
      </c>
      <c r="B80" s="370">
        <v>104</v>
      </c>
      <c r="C80" s="251" t="s">
        <v>1072</v>
      </c>
      <c r="D80" s="357">
        <v>192168254104</v>
      </c>
      <c r="E80" s="257"/>
      <c r="F80" s="257"/>
      <c r="G80" s="251">
        <v>1000</v>
      </c>
      <c r="H80" s="257"/>
      <c r="I80" s="354" t="s">
        <v>200</v>
      </c>
      <c r="J80" s="251" t="s">
        <v>1032</v>
      </c>
      <c r="K80" s="251" t="s">
        <v>1626</v>
      </c>
    </row>
    <row r="81" spans="1:11" x14ac:dyDescent="0.25">
      <c r="A81" s="368" t="s">
        <v>170</v>
      </c>
      <c r="B81" s="370">
        <v>70</v>
      </c>
      <c r="C81" s="254" t="s">
        <v>173</v>
      </c>
      <c r="D81" s="368" t="s">
        <v>170</v>
      </c>
      <c r="E81" s="257"/>
      <c r="F81" s="257"/>
      <c r="G81" s="254">
        <v>1000</v>
      </c>
      <c r="H81" s="257"/>
      <c r="I81" s="369" t="s">
        <v>1359</v>
      </c>
      <c r="J81" s="251" t="s">
        <v>1032</v>
      </c>
      <c r="K81" s="251" t="s">
        <v>1626</v>
      </c>
    </row>
    <row r="136" spans="11:11" x14ac:dyDescent="0.25">
      <c r="K136" s="13"/>
    </row>
    <row r="137" spans="11:11" x14ac:dyDescent="0.25">
      <c r="K137" s="13"/>
    </row>
  </sheetData>
  <autoFilter ref="A1:K137" xr:uid="{FB8FD4DF-6A41-4BE3-9855-E6B22BD784D3}"/>
  <conditionalFormatting sqref="A1:K115">
    <cfRule type="expression" dxfId="8" priority="14">
      <formula>ROW()=CELL("lin")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2302-ED83-4617-9DC5-8BB60FFBAE1A}">
  <sheetPr>
    <pageSetUpPr fitToPage="1"/>
  </sheetPr>
  <dimension ref="A1:Q41"/>
  <sheetViews>
    <sheetView topLeftCell="C1" zoomScale="80" zoomScaleNormal="80" workbookViewId="0">
      <pane ySplit="2" topLeftCell="A3" activePane="bottomLeft" state="frozen"/>
      <selection pane="bottomLeft" activeCell="C5" sqref="C5"/>
    </sheetView>
  </sheetViews>
  <sheetFormatPr defaultRowHeight="15" x14ac:dyDescent="0.25"/>
  <cols>
    <col min="1" max="1" width="10.7109375" bestFit="1" customWidth="1"/>
    <col min="2" max="2" width="19.28515625" bestFit="1" customWidth="1"/>
    <col min="3" max="3" width="17.140625" bestFit="1" customWidth="1"/>
    <col min="4" max="4" width="16.42578125" bestFit="1" customWidth="1"/>
    <col min="5" max="5" width="9.28515625" bestFit="1" customWidth="1"/>
    <col min="6" max="6" width="27.28515625" bestFit="1" customWidth="1"/>
    <col min="7" max="7" width="10.7109375" bestFit="1" customWidth="1"/>
    <col min="8" max="8" width="13.5703125" bestFit="1" customWidth="1"/>
    <col min="9" max="10" width="15.85546875" bestFit="1" customWidth="1"/>
    <col min="11" max="11" width="17.28515625" bestFit="1" customWidth="1"/>
    <col min="12" max="12" width="17.85546875" bestFit="1" customWidth="1"/>
    <col min="13" max="13" width="11" bestFit="1" customWidth="1"/>
    <col min="14" max="14" width="23" bestFit="1" customWidth="1"/>
    <col min="15" max="15" width="11" customWidth="1"/>
    <col min="16" max="16" width="16.28515625" bestFit="1" customWidth="1"/>
    <col min="17" max="17" width="11.7109375" customWidth="1"/>
  </cols>
  <sheetData>
    <row r="1" spans="1:17" ht="33" customHeight="1" x14ac:dyDescent="0.25">
      <c r="A1" s="452" t="s">
        <v>890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3"/>
      <c r="P1" s="453"/>
      <c r="Q1" s="453"/>
    </row>
    <row r="2" spans="1:17" ht="15.75" thickBot="1" x14ac:dyDescent="0.3">
      <c r="A2" s="107" t="s">
        <v>836</v>
      </c>
      <c r="B2" s="108" t="s">
        <v>13</v>
      </c>
      <c r="C2" s="108" t="s">
        <v>4</v>
      </c>
      <c r="D2" s="108" t="s">
        <v>837</v>
      </c>
      <c r="E2" s="107" t="s">
        <v>838</v>
      </c>
      <c r="F2" s="108" t="s">
        <v>535</v>
      </c>
      <c r="G2" s="107" t="s">
        <v>839</v>
      </c>
      <c r="H2" s="107" t="s">
        <v>2</v>
      </c>
      <c r="I2" s="107" t="s">
        <v>235</v>
      </c>
      <c r="J2" s="108" t="s">
        <v>5</v>
      </c>
      <c r="K2" s="108" t="s">
        <v>3</v>
      </c>
      <c r="L2" s="108" t="s">
        <v>840</v>
      </c>
      <c r="M2" s="107" t="s">
        <v>217</v>
      </c>
      <c r="N2" s="411" t="s">
        <v>1685</v>
      </c>
      <c r="O2" s="40" t="s">
        <v>835</v>
      </c>
      <c r="P2" s="40" t="s">
        <v>1683</v>
      </c>
      <c r="Q2" s="40" t="s">
        <v>1646</v>
      </c>
    </row>
    <row r="3" spans="1:17" x14ac:dyDescent="0.25">
      <c r="A3" s="112">
        <v>1</v>
      </c>
      <c r="B3" s="113" t="s">
        <v>80</v>
      </c>
      <c r="C3" s="113" t="s">
        <v>80</v>
      </c>
      <c r="D3" s="112" t="s">
        <v>841</v>
      </c>
      <c r="E3" s="112" t="s">
        <v>842</v>
      </c>
      <c r="F3" s="113" t="s">
        <v>843</v>
      </c>
      <c r="G3" s="113" t="s">
        <v>844</v>
      </c>
      <c r="H3" s="113" t="s">
        <v>903</v>
      </c>
      <c r="I3" s="112" t="s">
        <v>934</v>
      </c>
      <c r="J3" s="114">
        <v>192168254141</v>
      </c>
      <c r="K3" s="112" t="s">
        <v>1224</v>
      </c>
      <c r="L3" s="112" t="s">
        <v>935</v>
      </c>
      <c r="M3" s="112" t="s">
        <v>667</v>
      </c>
      <c r="N3" s="112"/>
      <c r="O3" s="112">
        <v>2</v>
      </c>
      <c r="P3" s="112" t="s">
        <v>1684</v>
      </c>
      <c r="Q3" s="112">
        <v>20</v>
      </c>
    </row>
    <row r="4" spans="1:17" x14ac:dyDescent="0.25">
      <c r="A4" s="112">
        <v>2</v>
      </c>
      <c r="B4" s="113" t="s">
        <v>18</v>
      </c>
      <c r="C4" s="113" t="s">
        <v>905</v>
      </c>
      <c r="D4" s="112" t="s">
        <v>841</v>
      </c>
      <c r="E4" s="112" t="s">
        <v>842</v>
      </c>
      <c r="F4" s="113" t="s">
        <v>843</v>
      </c>
      <c r="G4" s="113" t="s">
        <v>844</v>
      </c>
      <c r="H4" s="113" t="s">
        <v>903</v>
      </c>
      <c r="I4" s="112" t="s">
        <v>1482</v>
      </c>
      <c r="J4" s="114">
        <v>192168254140</v>
      </c>
      <c r="K4" s="112" t="s">
        <v>904</v>
      </c>
      <c r="L4" s="112" t="s">
        <v>1483</v>
      </c>
      <c r="M4" s="112" t="s">
        <v>667</v>
      </c>
      <c r="N4" s="112"/>
      <c r="O4" s="112">
        <v>2</v>
      </c>
      <c r="P4" s="112" t="s">
        <v>1684</v>
      </c>
      <c r="Q4" s="112">
        <v>32</v>
      </c>
    </row>
    <row r="5" spans="1:17" x14ac:dyDescent="0.25">
      <c r="A5" s="303">
        <v>3</v>
      </c>
      <c r="B5" s="244" t="s">
        <v>1479</v>
      </c>
      <c r="C5" s="244" t="s">
        <v>1479</v>
      </c>
      <c r="D5" s="112" t="s">
        <v>841</v>
      </c>
      <c r="E5" s="112" t="s">
        <v>842</v>
      </c>
      <c r="F5" s="113" t="s">
        <v>843</v>
      </c>
      <c r="G5" s="113" t="s">
        <v>844</v>
      </c>
      <c r="H5" s="113" t="s">
        <v>903</v>
      </c>
      <c r="I5" s="112" t="s">
        <v>1481</v>
      </c>
      <c r="J5" s="114">
        <v>192168254142</v>
      </c>
      <c r="K5" s="112" t="s">
        <v>1225</v>
      </c>
      <c r="L5" s="243" t="s">
        <v>1480</v>
      </c>
      <c r="M5" s="112" t="s">
        <v>667</v>
      </c>
      <c r="N5" s="112"/>
      <c r="O5" s="112">
        <v>2</v>
      </c>
      <c r="P5" s="112" t="s">
        <v>1684</v>
      </c>
      <c r="Q5" s="112">
        <v>47</v>
      </c>
    </row>
    <row r="6" spans="1:17" x14ac:dyDescent="0.25">
      <c r="A6" s="303" t="s">
        <v>1621</v>
      </c>
      <c r="B6" s="244" t="s">
        <v>1620</v>
      </c>
      <c r="C6" s="244" t="s">
        <v>1622</v>
      </c>
      <c r="D6" s="332" t="s">
        <v>841</v>
      </c>
      <c r="E6" s="332" t="s">
        <v>842</v>
      </c>
      <c r="F6" s="113" t="s">
        <v>843</v>
      </c>
      <c r="G6" s="113" t="s">
        <v>844</v>
      </c>
      <c r="H6" s="113" t="s">
        <v>903</v>
      </c>
      <c r="I6" s="112"/>
      <c r="J6" s="114">
        <v>192168254143</v>
      </c>
      <c r="K6" s="112" t="s">
        <v>1623</v>
      </c>
      <c r="L6" s="243" t="s">
        <v>1624</v>
      </c>
      <c r="M6" s="112" t="s">
        <v>667</v>
      </c>
      <c r="N6" s="112"/>
      <c r="O6" s="112"/>
      <c r="P6" s="112"/>
      <c r="Q6" s="112"/>
    </row>
    <row r="7" spans="1:17" x14ac:dyDescent="0.25">
      <c r="A7" s="304">
        <v>2</v>
      </c>
      <c r="B7" s="305" t="s">
        <v>172</v>
      </c>
      <c r="C7" s="305" t="s">
        <v>171</v>
      </c>
      <c r="D7" s="304" t="s">
        <v>196</v>
      </c>
      <c r="E7" s="304" t="s">
        <v>866</v>
      </c>
      <c r="F7" s="306" t="s">
        <v>883</v>
      </c>
      <c r="G7" s="307" t="s">
        <v>887</v>
      </c>
      <c r="H7" s="307" t="s">
        <v>1316</v>
      </c>
      <c r="I7" s="308" t="s">
        <v>1317</v>
      </c>
      <c r="J7" s="309"/>
      <c r="K7" s="309"/>
      <c r="L7" s="308" t="s">
        <v>1318</v>
      </c>
      <c r="M7" s="308" t="s">
        <v>667</v>
      </c>
      <c r="N7" s="412"/>
      <c r="O7" s="112"/>
      <c r="P7" s="112"/>
      <c r="Q7" s="112"/>
    </row>
    <row r="8" spans="1:17" x14ac:dyDescent="0.25">
      <c r="A8" s="308">
        <v>3</v>
      </c>
      <c r="B8" s="307" t="s">
        <v>172</v>
      </c>
      <c r="C8" s="307" t="s">
        <v>882</v>
      </c>
      <c r="D8" s="308" t="s">
        <v>1315</v>
      </c>
      <c r="E8" s="308" t="s">
        <v>866</v>
      </c>
      <c r="F8" s="306" t="s">
        <v>883</v>
      </c>
      <c r="G8" s="306" t="s">
        <v>884</v>
      </c>
      <c r="H8" s="306" t="s">
        <v>885</v>
      </c>
      <c r="I8" s="308" t="s">
        <v>886</v>
      </c>
      <c r="J8" s="309"/>
      <c r="K8" s="309"/>
      <c r="L8" s="314" t="s">
        <v>1574</v>
      </c>
      <c r="M8" s="308" t="s">
        <v>667</v>
      </c>
      <c r="N8" s="412"/>
      <c r="O8" s="112"/>
      <c r="P8" s="112"/>
      <c r="Q8" s="112"/>
    </row>
    <row r="9" spans="1:17" x14ac:dyDescent="0.25">
      <c r="A9" s="308">
        <v>3</v>
      </c>
      <c r="B9" s="307" t="s">
        <v>172</v>
      </c>
      <c r="C9" s="307" t="s">
        <v>511</v>
      </c>
      <c r="D9" s="308" t="s">
        <v>1315</v>
      </c>
      <c r="E9" s="308" t="s">
        <v>866</v>
      </c>
      <c r="F9" s="306" t="s">
        <v>883</v>
      </c>
      <c r="G9" s="307" t="s">
        <v>887</v>
      </c>
      <c r="H9" s="307" t="s">
        <v>888</v>
      </c>
      <c r="I9" s="308" t="s">
        <v>889</v>
      </c>
      <c r="J9" s="309"/>
      <c r="K9" s="309"/>
      <c r="L9" s="314" t="s">
        <v>1574</v>
      </c>
      <c r="M9" s="308" t="s">
        <v>667</v>
      </c>
      <c r="N9" s="412"/>
      <c r="O9" s="112"/>
      <c r="P9" s="112"/>
      <c r="Q9" s="112"/>
    </row>
    <row r="10" spans="1:17" x14ac:dyDescent="0.25">
      <c r="A10" s="308">
        <v>1</v>
      </c>
      <c r="B10" s="307" t="s">
        <v>14</v>
      </c>
      <c r="C10" s="307" t="s">
        <v>14</v>
      </c>
      <c r="D10" s="308" t="s">
        <v>1315</v>
      </c>
      <c r="E10" s="308" t="s">
        <v>866</v>
      </c>
      <c r="F10" s="306" t="s">
        <v>883</v>
      </c>
      <c r="G10" s="307" t="s">
        <v>887</v>
      </c>
      <c r="H10" s="307" t="s">
        <v>1569</v>
      </c>
      <c r="I10" s="308" t="s">
        <v>1570</v>
      </c>
      <c r="J10" s="310">
        <v>192168254144</v>
      </c>
      <c r="K10" s="308" t="s">
        <v>1568</v>
      </c>
      <c r="L10" s="308" t="s">
        <v>1571</v>
      </c>
      <c r="M10" s="308" t="s">
        <v>667</v>
      </c>
      <c r="N10" s="412"/>
      <c r="O10" s="112"/>
      <c r="P10" s="112"/>
      <c r="Q10" s="112"/>
    </row>
    <row r="11" spans="1:17" x14ac:dyDescent="0.25">
      <c r="A11" s="311">
        <v>1</v>
      </c>
      <c r="B11" s="312" t="s">
        <v>77</v>
      </c>
      <c r="C11" s="312" t="s">
        <v>550</v>
      </c>
      <c r="D11" s="311" t="s">
        <v>196</v>
      </c>
      <c r="E11" s="311" t="s">
        <v>842</v>
      </c>
      <c r="F11" s="312" t="s">
        <v>1573</v>
      </c>
      <c r="G11" s="312" t="s">
        <v>848</v>
      </c>
      <c r="H11" s="312" t="s">
        <v>849</v>
      </c>
      <c r="I11" s="311" t="s">
        <v>850</v>
      </c>
      <c r="J11" s="313"/>
      <c r="K11" s="313"/>
      <c r="L11" s="315" t="s">
        <v>1574</v>
      </c>
      <c r="M11" s="311" t="s">
        <v>667</v>
      </c>
      <c r="N11" s="413"/>
      <c r="O11" s="112"/>
      <c r="P11" s="112"/>
      <c r="Q11" s="112"/>
    </row>
    <row r="12" spans="1:17" x14ac:dyDescent="0.25">
      <c r="A12" s="311">
        <v>1</v>
      </c>
      <c r="B12" s="312" t="s">
        <v>67</v>
      </c>
      <c r="C12" s="312" t="s">
        <v>856</v>
      </c>
      <c r="D12" s="311" t="s">
        <v>196</v>
      </c>
      <c r="E12" s="311" t="s">
        <v>842</v>
      </c>
      <c r="F12" s="312" t="s">
        <v>1573</v>
      </c>
      <c r="G12" s="312" t="s">
        <v>848</v>
      </c>
      <c r="H12" s="312" t="s">
        <v>849</v>
      </c>
      <c r="I12" s="311" t="s">
        <v>871</v>
      </c>
      <c r="J12" s="313"/>
      <c r="K12" s="313"/>
      <c r="L12" s="311" t="s">
        <v>957</v>
      </c>
      <c r="M12" s="311" t="s">
        <v>667</v>
      </c>
      <c r="N12" s="413"/>
      <c r="O12" s="112"/>
      <c r="P12" s="112"/>
      <c r="Q12" s="112"/>
    </row>
    <row r="13" spans="1:17" x14ac:dyDescent="0.25">
      <c r="A13" s="311">
        <v>1</v>
      </c>
      <c r="B13" s="312" t="s">
        <v>172</v>
      </c>
      <c r="C13" s="312" t="s">
        <v>171</v>
      </c>
      <c r="D13" s="311" t="s">
        <v>196</v>
      </c>
      <c r="E13" s="311" t="s">
        <v>842</v>
      </c>
      <c r="F13" s="312" t="s">
        <v>1572</v>
      </c>
      <c r="G13" s="312" t="s">
        <v>848</v>
      </c>
      <c r="H13" s="312" t="s">
        <v>854</v>
      </c>
      <c r="I13" s="315" t="s">
        <v>1574</v>
      </c>
      <c r="J13" s="313"/>
      <c r="K13" s="313"/>
      <c r="L13" s="315" t="s">
        <v>1574</v>
      </c>
      <c r="M13" s="311" t="s">
        <v>667</v>
      </c>
      <c r="N13" s="413"/>
      <c r="O13" s="112"/>
      <c r="P13" s="112"/>
      <c r="Q13" s="112"/>
    </row>
    <row r="14" spans="1:17" x14ac:dyDescent="0.25">
      <c r="A14" s="311">
        <v>2</v>
      </c>
      <c r="B14" s="312" t="s">
        <v>58</v>
      </c>
      <c r="C14" s="312" t="s">
        <v>336</v>
      </c>
      <c r="D14" s="311" t="s">
        <v>196</v>
      </c>
      <c r="E14" s="311" t="s">
        <v>842</v>
      </c>
      <c r="F14" s="312" t="s">
        <v>1573</v>
      </c>
      <c r="G14" s="312" t="s">
        <v>848</v>
      </c>
      <c r="H14" s="312" t="s">
        <v>849</v>
      </c>
      <c r="I14" s="311" t="s">
        <v>865</v>
      </c>
      <c r="J14" s="313"/>
      <c r="K14" s="313"/>
      <c r="L14" s="315" t="s">
        <v>1574</v>
      </c>
      <c r="M14" s="311" t="s">
        <v>667</v>
      </c>
      <c r="N14" s="413"/>
      <c r="O14" s="112"/>
      <c r="P14" s="112"/>
      <c r="Q14" s="112"/>
    </row>
    <row r="15" spans="1:17" x14ac:dyDescent="0.25">
      <c r="A15" s="311">
        <v>1</v>
      </c>
      <c r="B15" s="312" t="s">
        <v>23</v>
      </c>
      <c r="C15" s="312" t="s">
        <v>197</v>
      </c>
      <c r="D15" s="311" t="s">
        <v>196</v>
      </c>
      <c r="E15" s="311" t="s">
        <v>842</v>
      </c>
      <c r="F15" s="312" t="s">
        <v>891</v>
      </c>
      <c r="G15" s="312" t="s">
        <v>844</v>
      </c>
      <c r="H15" s="312" t="s">
        <v>893</v>
      </c>
      <c r="I15" s="311" t="s">
        <v>896</v>
      </c>
      <c r="J15" s="313"/>
      <c r="K15" s="313"/>
      <c r="L15" s="311" t="s">
        <v>899</v>
      </c>
      <c r="M15" s="311" t="s">
        <v>667</v>
      </c>
      <c r="N15" s="413"/>
      <c r="O15" s="112"/>
      <c r="P15" s="112"/>
      <c r="Q15" s="112"/>
    </row>
    <row r="16" spans="1:17" x14ac:dyDescent="0.25">
      <c r="A16" s="311">
        <v>1</v>
      </c>
      <c r="B16" s="312" t="s">
        <v>23</v>
      </c>
      <c r="C16" s="312" t="s">
        <v>197</v>
      </c>
      <c r="D16" s="311" t="s">
        <v>196</v>
      </c>
      <c r="E16" s="311" t="s">
        <v>842</v>
      </c>
      <c r="F16" s="312" t="s">
        <v>892</v>
      </c>
      <c r="G16" s="312" t="s">
        <v>894</v>
      </c>
      <c r="H16" s="312" t="s">
        <v>895</v>
      </c>
      <c r="I16" s="311" t="s">
        <v>897</v>
      </c>
      <c r="J16" s="313"/>
      <c r="K16" s="313"/>
      <c r="L16" s="311" t="s">
        <v>898</v>
      </c>
      <c r="M16" s="311" t="s">
        <v>667</v>
      </c>
      <c r="N16" s="413"/>
      <c r="O16" s="112"/>
      <c r="P16" s="112"/>
      <c r="Q16" s="112"/>
    </row>
    <row r="17" spans="1:17" x14ac:dyDescent="0.25">
      <c r="A17" s="311" t="s">
        <v>1032</v>
      </c>
      <c r="B17" s="312" t="s">
        <v>1033</v>
      </c>
      <c r="C17" s="312" t="s">
        <v>176</v>
      </c>
      <c r="D17" s="311" t="s">
        <v>196</v>
      </c>
      <c r="E17" s="311" t="s">
        <v>842</v>
      </c>
      <c r="F17" s="312" t="s">
        <v>1572</v>
      </c>
      <c r="G17" s="312" t="s">
        <v>848</v>
      </c>
      <c r="H17" s="312" t="s">
        <v>851</v>
      </c>
      <c r="I17" s="315" t="s">
        <v>1574</v>
      </c>
      <c r="J17" s="313"/>
      <c r="K17" s="313"/>
      <c r="L17" s="315" t="s">
        <v>1574</v>
      </c>
      <c r="M17" s="311" t="s">
        <v>667</v>
      </c>
      <c r="N17" s="413"/>
      <c r="O17" s="112"/>
      <c r="P17" s="112"/>
      <c r="Q17" s="112"/>
    </row>
    <row r="18" spans="1:17" x14ac:dyDescent="0.25">
      <c r="A18" s="109">
        <v>1</v>
      </c>
      <c r="B18" s="110" t="s">
        <v>1322</v>
      </c>
      <c r="C18" s="110" t="s">
        <v>14</v>
      </c>
      <c r="D18" s="109" t="s">
        <v>196</v>
      </c>
      <c r="E18" s="109" t="s">
        <v>842</v>
      </c>
      <c r="F18" s="110" t="s">
        <v>847</v>
      </c>
      <c r="G18" s="110" t="s">
        <v>848</v>
      </c>
      <c r="H18" s="110" t="s">
        <v>857</v>
      </c>
      <c r="I18" s="109" t="s">
        <v>858</v>
      </c>
      <c r="J18" s="111"/>
      <c r="K18" s="111"/>
      <c r="L18" s="109" t="s">
        <v>900</v>
      </c>
      <c r="M18" s="109" t="s">
        <v>1321</v>
      </c>
      <c r="N18" s="117"/>
      <c r="O18" s="112"/>
      <c r="P18" s="112"/>
      <c r="Q18" s="112"/>
    </row>
    <row r="19" spans="1:17" x14ac:dyDescent="0.25">
      <c r="A19" s="109">
        <v>3</v>
      </c>
      <c r="B19" s="110" t="s">
        <v>1322</v>
      </c>
      <c r="C19" s="110" t="s">
        <v>202</v>
      </c>
      <c r="D19" s="109" t="s">
        <v>196</v>
      </c>
      <c r="E19" s="109" t="s">
        <v>866</v>
      </c>
      <c r="F19" s="110" t="s">
        <v>867</v>
      </c>
      <c r="G19" s="110" t="s">
        <v>848</v>
      </c>
      <c r="H19" s="275">
        <v>4646</v>
      </c>
      <c r="I19" s="109" t="s">
        <v>881</v>
      </c>
      <c r="J19" s="111"/>
      <c r="K19" s="111"/>
      <c r="L19" s="109" t="s">
        <v>201</v>
      </c>
      <c r="M19" s="109" t="s">
        <v>1321</v>
      </c>
      <c r="N19" s="117"/>
      <c r="O19" s="112"/>
      <c r="P19" s="112"/>
      <c r="Q19" s="112"/>
    </row>
    <row r="20" spans="1:17" x14ac:dyDescent="0.25">
      <c r="A20" s="109">
        <v>1</v>
      </c>
      <c r="B20" s="110" t="s">
        <v>1322</v>
      </c>
      <c r="C20" s="110" t="s">
        <v>14</v>
      </c>
      <c r="D20" s="109" t="s">
        <v>196</v>
      </c>
      <c r="E20" s="109" t="s">
        <v>842</v>
      </c>
      <c r="F20" s="275" t="s">
        <v>847</v>
      </c>
      <c r="G20" s="110" t="s">
        <v>848</v>
      </c>
      <c r="H20" s="110" t="s">
        <v>851</v>
      </c>
      <c r="I20" s="109" t="s">
        <v>1319</v>
      </c>
      <c r="J20" s="111"/>
      <c r="K20" s="111"/>
      <c r="L20" s="109" t="s">
        <v>1320</v>
      </c>
      <c r="M20" s="109" t="s">
        <v>1321</v>
      </c>
      <c r="N20" s="117"/>
      <c r="O20" s="112"/>
      <c r="P20" s="112"/>
      <c r="Q20" s="112"/>
    </row>
    <row r="21" spans="1:17" x14ac:dyDescent="0.25">
      <c r="A21" s="240">
        <v>1</v>
      </c>
      <c r="B21" s="110" t="s">
        <v>1322</v>
      </c>
      <c r="C21" s="239" t="s">
        <v>14</v>
      </c>
      <c r="D21" s="240" t="s">
        <v>196</v>
      </c>
      <c r="E21" s="240" t="s">
        <v>842</v>
      </c>
      <c r="F21" s="239" t="s">
        <v>847</v>
      </c>
      <c r="G21" s="239" t="s">
        <v>848</v>
      </c>
      <c r="H21" s="239" t="s">
        <v>849</v>
      </c>
      <c r="I21" s="240" t="s">
        <v>853</v>
      </c>
      <c r="J21" s="241"/>
      <c r="K21" s="241"/>
      <c r="L21" s="240" t="s">
        <v>1001</v>
      </c>
      <c r="M21" s="242" t="s">
        <v>1086</v>
      </c>
      <c r="N21" s="414"/>
      <c r="O21" s="112"/>
      <c r="P21" s="112"/>
      <c r="Q21" s="112"/>
    </row>
    <row r="22" spans="1:17" x14ac:dyDescent="0.25">
      <c r="A22" s="109">
        <v>3</v>
      </c>
      <c r="B22" s="110" t="s">
        <v>164</v>
      </c>
      <c r="C22" s="110" t="s">
        <v>343</v>
      </c>
      <c r="D22" s="109" t="s">
        <v>196</v>
      </c>
      <c r="E22" s="109" t="s">
        <v>842</v>
      </c>
      <c r="F22" s="110" t="s">
        <v>843</v>
      </c>
      <c r="G22" s="110" t="s">
        <v>848</v>
      </c>
      <c r="H22" s="110" t="s">
        <v>877</v>
      </c>
      <c r="I22" s="109" t="s">
        <v>878</v>
      </c>
      <c r="J22" s="111"/>
      <c r="K22" s="111"/>
      <c r="L22" s="109"/>
      <c r="M22" s="115" t="s">
        <v>559</v>
      </c>
      <c r="N22" s="414"/>
      <c r="O22" s="112"/>
      <c r="P22" s="112"/>
      <c r="Q22" s="112"/>
    </row>
    <row r="23" spans="1:17" x14ac:dyDescent="0.25">
      <c r="A23" s="109">
        <v>3</v>
      </c>
      <c r="B23" s="110" t="s">
        <v>205</v>
      </c>
      <c r="C23" s="110" t="s">
        <v>155</v>
      </c>
      <c r="D23" s="109" t="s">
        <v>196</v>
      </c>
      <c r="E23" s="109" t="s">
        <v>842</v>
      </c>
      <c r="F23" s="110" t="s">
        <v>847</v>
      </c>
      <c r="G23" s="110" t="s">
        <v>848</v>
      </c>
      <c r="H23" s="110" t="s">
        <v>854</v>
      </c>
      <c r="I23" s="109" t="s">
        <v>879</v>
      </c>
      <c r="J23" s="111"/>
      <c r="K23" s="111"/>
      <c r="L23" s="109" t="s">
        <v>933</v>
      </c>
      <c r="M23" s="115" t="s">
        <v>559</v>
      </c>
      <c r="N23" s="414"/>
      <c r="O23" s="112"/>
      <c r="P23" s="112"/>
      <c r="Q23" s="112"/>
    </row>
    <row r="24" spans="1:17" x14ac:dyDescent="0.25">
      <c r="A24" s="109">
        <v>3</v>
      </c>
      <c r="B24" s="110" t="s">
        <v>205</v>
      </c>
      <c r="C24" s="110" t="s">
        <v>155</v>
      </c>
      <c r="D24" s="109" t="s">
        <v>196</v>
      </c>
      <c r="E24" s="109" t="s">
        <v>842</v>
      </c>
      <c r="F24" s="110" t="s">
        <v>843</v>
      </c>
      <c r="G24" s="110" t="s">
        <v>844</v>
      </c>
      <c r="H24" s="110" t="s">
        <v>845</v>
      </c>
      <c r="I24" s="143" t="s">
        <v>956</v>
      </c>
      <c r="J24" s="111"/>
      <c r="K24" s="111"/>
      <c r="L24" s="109" t="s">
        <v>901</v>
      </c>
      <c r="M24" s="115" t="s">
        <v>559</v>
      </c>
      <c r="N24" s="414"/>
      <c r="O24" s="112"/>
      <c r="P24" s="112"/>
      <c r="Q24" s="112"/>
    </row>
    <row r="25" spans="1:17" x14ac:dyDescent="0.25">
      <c r="A25" s="117">
        <v>2</v>
      </c>
      <c r="B25" s="118" t="s">
        <v>18</v>
      </c>
      <c r="C25" s="118" t="s">
        <v>726</v>
      </c>
      <c r="D25" s="117" t="s">
        <v>841</v>
      </c>
      <c r="E25" s="117" t="s">
        <v>842</v>
      </c>
      <c r="F25" s="118" t="s">
        <v>843</v>
      </c>
      <c r="G25" s="118" t="s">
        <v>848</v>
      </c>
      <c r="H25" s="118" t="s">
        <v>859</v>
      </c>
      <c r="I25" s="144" t="s">
        <v>860</v>
      </c>
      <c r="J25" s="119">
        <v>192168254103</v>
      </c>
      <c r="K25" s="117" t="s">
        <v>806</v>
      </c>
      <c r="L25" s="117"/>
      <c r="M25" s="115" t="s">
        <v>559</v>
      </c>
      <c r="N25" s="414"/>
      <c r="O25" s="112"/>
      <c r="P25" s="112"/>
      <c r="Q25" s="112"/>
    </row>
    <row r="26" spans="1:17" x14ac:dyDescent="0.25">
      <c r="A26" s="109">
        <v>1</v>
      </c>
      <c r="B26" s="110" t="s">
        <v>14</v>
      </c>
      <c r="C26" s="110" t="s">
        <v>52</v>
      </c>
      <c r="D26" s="109" t="s">
        <v>196</v>
      </c>
      <c r="E26" s="109" t="s">
        <v>842</v>
      </c>
      <c r="F26" s="110" t="s">
        <v>847</v>
      </c>
      <c r="G26" s="110" t="s">
        <v>848</v>
      </c>
      <c r="H26" s="110" t="s">
        <v>851</v>
      </c>
      <c r="I26" s="145" t="s">
        <v>852</v>
      </c>
      <c r="J26" s="111"/>
      <c r="K26" s="111"/>
      <c r="L26" s="109"/>
      <c r="M26" s="115" t="s">
        <v>559</v>
      </c>
      <c r="N26" s="414"/>
      <c r="O26" s="112"/>
      <c r="P26" s="112"/>
      <c r="Q26" s="112"/>
    </row>
    <row r="27" spans="1:17" x14ac:dyDescent="0.25">
      <c r="A27" s="109">
        <v>2</v>
      </c>
      <c r="B27" s="110" t="s">
        <v>18</v>
      </c>
      <c r="C27" s="110" t="s">
        <v>492</v>
      </c>
      <c r="D27" s="109" t="s">
        <v>196</v>
      </c>
      <c r="E27" s="109" t="s">
        <v>842</v>
      </c>
      <c r="F27" s="110" t="s">
        <v>847</v>
      </c>
      <c r="G27" s="110" t="s">
        <v>848</v>
      </c>
      <c r="H27" s="110" t="s">
        <v>862</v>
      </c>
      <c r="I27" s="145" t="s">
        <v>863</v>
      </c>
      <c r="J27" s="111"/>
      <c r="K27" s="111"/>
      <c r="L27" s="109"/>
      <c r="M27" s="115" t="s">
        <v>559</v>
      </c>
      <c r="N27" s="414"/>
      <c r="O27" s="112"/>
      <c r="P27" s="112"/>
      <c r="Q27" s="112"/>
    </row>
    <row r="28" spans="1:17" x14ac:dyDescent="0.25">
      <c r="A28" s="109">
        <v>2</v>
      </c>
      <c r="B28" s="110" t="s">
        <v>18</v>
      </c>
      <c r="C28" s="110" t="s">
        <v>239</v>
      </c>
      <c r="D28" s="109" t="s">
        <v>196</v>
      </c>
      <c r="E28" s="109" t="s">
        <v>842</v>
      </c>
      <c r="F28" s="110" t="s">
        <v>847</v>
      </c>
      <c r="G28" s="110" t="s">
        <v>848</v>
      </c>
      <c r="H28" s="110" t="s">
        <v>851</v>
      </c>
      <c r="I28" s="145" t="s">
        <v>864</v>
      </c>
      <c r="J28" s="111"/>
      <c r="K28" s="111"/>
      <c r="L28" s="109"/>
      <c r="M28" s="115" t="s">
        <v>559</v>
      </c>
      <c r="N28" s="414"/>
      <c r="O28" s="112"/>
      <c r="P28" s="112"/>
      <c r="Q28" s="112"/>
    </row>
    <row r="29" spans="1:17" x14ac:dyDescent="0.25">
      <c r="A29" s="109">
        <v>3</v>
      </c>
      <c r="B29" s="110" t="s">
        <v>205</v>
      </c>
      <c r="C29" s="110" t="s">
        <v>155</v>
      </c>
      <c r="D29" s="109" t="s">
        <v>841</v>
      </c>
      <c r="E29" s="109" t="s">
        <v>842</v>
      </c>
      <c r="F29" s="110" t="s">
        <v>843</v>
      </c>
      <c r="G29" s="110" t="s">
        <v>844</v>
      </c>
      <c r="H29" s="110" t="s">
        <v>845</v>
      </c>
      <c r="I29" s="109" t="s">
        <v>861</v>
      </c>
      <c r="J29" s="142" t="s">
        <v>206</v>
      </c>
      <c r="K29" s="109" t="s">
        <v>962</v>
      </c>
      <c r="L29" s="109" t="s">
        <v>961</v>
      </c>
      <c r="M29" s="115" t="s">
        <v>559</v>
      </c>
      <c r="N29" s="414"/>
      <c r="O29" s="112"/>
      <c r="P29" s="112"/>
      <c r="Q29" s="112"/>
    </row>
    <row r="30" spans="1:17" x14ac:dyDescent="0.25">
      <c r="A30" s="109">
        <v>3</v>
      </c>
      <c r="B30" s="110" t="s">
        <v>164</v>
      </c>
      <c r="C30" s="110" t="s">
        <v>343</v>
      </c>
      <c r="D30" s="109" t="s">
        <v>196</v>
      </c>
      <c r="E30" s="109" t="s">
        <v>842</v>
      </c>
      <c r="F30" s="110" t="s">
        <v>843</v>
      </c>
      <c r="G30" s="110" t="s">
        <v>848</v>
      </c>
      <c r="H30" s="110" t="s">
        <v>859</v>
      </c>
      <c r="I30" s="109" t="s">
        <v>954</v>
      </c>
      <c r="J30" s="111"/>
      <c r="K30" s="111"/>
      <c r="L30" s="109"/>
      <c r="M30" s="115" t="s">
        <v>559</v>
      </c>
      <c r="N30" s="414"/>
      <c r="O30" s="112"/>
      <c r="P30" s="112"/>
      <c r="Q30" s="112"/>
    </row>
    <row r="31" spans="1:17" x14ac:dyDescent="0.25">
      <c r="A31" s="109">
        <v>3</v>
      </c>
      <c r="B31" s="110" t="s">
        <v>873</v>
      </c>
      <c r="C31" s="110" t="s">
        <v>751</v>
      </c>
      <c r="D31" s="109" t="s">
        <v>196</v>
      </c>
      <c r="E31" s="109" t="s">
        <v>842</v>
      </c>
      <c r="F31" s="110" t="s">
        <v>847</v>
      </c>
      <c r="G31" s="110" t="s">
        <v>848</v>
      </c>
      <c r="H31" s="110" t="s">
        <v>854</v>
      </c>
      <c r="I31" s="109" t="s">
        <v>874</v>
      </c>
      <c r="J31" s="111"/>
      <c r="K31" s="111"/>
      <c r="L31" s="109"/>
      <c r="M31" s="115" t="s">
        <v>559</v>
      </c>
      <c r="N31" s="414"/>
      <c r="O31" s="112"/>
      <c r="P31" s="112"/>
      <c r="Q31" s="112"/>
    </row>
    <row r="32" spans="1:17" x14ac:dyDescent="0.25">
      <c r="A32" s="158">
        <v>1</v>
      </c>
      <c r="B32" s="159" t="s">
        <v>14</v>
      </c>
      <c r="C32" s="159" t="s">
        <v>14</v>
      </c>
      <c r="D32" s="158" t="s">
        <v>196</v>
      </c>
      <c r="E32" s="158" t="s">
        <v>842</v>
      </c>
      <c r="F32" s="159" t="s">
        <v>847</v>
      </c>
      <c r="G32" s="159" t="s">
        <v>848</v>
      </c>
      <c r="H32" s="159" t="s">
        <v>1085</v>
      </c>
      <c r="I32" s="158" t="s">
        <v>1083</v>
      </c>
      <c r="J32" s="111"/>
      <c r="K32" s="111"/>
      <c r="L32" s="109" t="s">
        <v>1084</v>
      </c>
      <c r="M32" s="115" t="s">
        <v>559</v>
      </c>
      <c r="N32" s="414"/>
      <c r="O32" s="112"/>
      <c r="P32" s="112"/>
      <c r="Q32" s="112"/>
    </row>
    <row r="33" spans="1:17" x14ac:dyDescent="0.25">
      <c r="A33" s="109">
        <v>3</v>
      </c>
      <c r="B33" s="110" t="s">
        <v>691</v>
      </c>
      <c r="C33" s="110" t="s">
        <v>715</v>
      </c>
      <c r="D33" s="109" t="s">
        <v>841</v>
      </c>
      <c r="E33" s="109" t="s">
        <v>842</v>
      </c>
      <c r="F33" s="110" t="s">
        <v>843</v>
      </c>
      <c r="G33" s="110" t="s">
        <v>848</v>
      </c>
      <c r="H33" s="110" t="s">
        <v>859</v>
      </c>
      <c r="I33" s="109" t="s">
        <v>872</v>
      </c>
      <c r="J33" s="109" t="s">
        <v>960</v>
      </c>
      <c r="K33" s="109" t="s">
        <v>694</v>
      </c>
      <c r="L33" s="109" t="s">
        <v>959</v>
      </c>
      <c r="M33" s="115" t="s">
        <v>559</v>
      </c>
      <c r="N33" s="414"/>
      <c r="O33" s="112"/>
      <c r="P33" s="112"/>
      <c r="Q33" s="112"/>
    </row>
    <row r="34" spans="1:17" x14ac:dyDescent="0.25">
      <c r="A34" s="109">
        <v>3</v>
      </c>
      <c r="B34" s="110" t="s">
        <v>93</v>
      </c>
      <c r="C34" s="110" t="s">
        <v>512</v>
      </c>
      <c r="D34" s="109" t="s">
        <v>841</v>
      </c>
      <c r="E34" s="109" t="s">
        <v>842</v>
      </c>
      <c r="F34" s="110" t="s">
        <v>843</v>
      </c>
      <c r="G34" s="110" t="s">
        <v>848</v>
      </c>
      <c r="H34" s="110" t="s">
        <v>859</v>
      </c>
      <c r="I34" s="109" t="s">
        <v>875</v>
      </c>
      <c r="J34" s="142">
        <v>192168254210</v>
      </c>
      <c r="K34" s="109" t="s">
        <v>876</v>
      </c>
      <c r="L34" s="109" t="s">
        <v>958</v>
      </c>
      <c r="M34" s="115" t="s">
        <v>559</v>
      </c>
      <c r="N34" s="414"/>
      <c r="O34" s="112"/>
      <c r="P34" s="112"/>
      <c r="Q34" s="112"/>
    </row>
    <row r="35" spans="1:17" x14ac:dyDescent="0.25">
      <c r="A35" s="109">
        <v>1</v>
      </c>
      <c r="B35" s="110" t="s">
        <v>58</v>
      </c>
      <c r="C35" s="110" t="s">
        <v>336</v>
      </c>
      <c r="D35" s="109" t="s">
        <v>196</v>
      </c>
      <c r="E35" s="109" t="s">
        <v>842</v>
      </c>
      <c r="F35" s="110" t="s">
        <v>847</v>
      </c>
      <c r="G35" s="110" t="s">
        <v>848</v>
      </c>
      <c r="H35" s="110" t="s">
        <v>854</v>
      </c>
      <c r="I35" s="109" t="s">
        <v>855</v>
      </c>
      <c r="J35" s="111"/>
      <c r="K35" s="111"/>
      <c r="L35" s="109"/>
      <c r="M35" s="115" t="s">
        <v>559</v>
      </c>
      <c r="N35" s="414"/>
      <c r="O35" s="112"/>
      <c r="P35" s="112"/>
      <c r="Q35" s="112"/>
    </row>
    <row r="36" spans="1:17" x14ac:dyDescent="0.25">
      <c r="A36" s="109">
        <v>3</v>
      </c>
      <c r="B36" s="110" t="s">
        <v>164</v>
      </c>
      <c r="C36" s="110" t="s">
        <v>343</v>
      </c>
      <c r="D36" s="109" t="s">
        <v>196</v>
      </c>
      <c r="E36" s="109" t="s">
        <v>842</v>
      </c>
      <c r="F36" s="110" t="s">
        <v>843</v>
      </c>
      <c r="G36" s="110" t="s">
        <v>844</v>
      </c>
      <c r="H36" s="110" t="s">
        <v>845</v>
      </c>
      <c r="I36" s="109" t="s">
        <v>1000</v>
      </c>
      <c r="J36" s="111"/>
      <c r="K36" s="111"/>
      <c r="L36" s="109"/>
      <c r="M36" s="115" t="s">
        <v>559</v>
      </c>
      <c r="N36" s="414"/>
      <c r="O36" s="112"/>
      <c r="P36" s="112"/>
      <c r="Q36" s="112"/>
    </row>
    <row r="37" spans="1:17" x14ac:dyDescent="0.25">
      <c r="A37" s="117">
        <v>3</v>
      </c>
      <c r="B37" s="118" t="s">
        <v>185</v>
      </c>
      <c r="C37" s="118" t="s">
        <v>186</v>
      </c>
      <c r="D37" s="117" t="s">
        <v>196</v>
      </c>
      <c r="E37" s="117" t="s">
        <v>842</v>
      </c>
      <c r="F37" s="118" t="s">
        <v>843</v>
      </c>
      <c r="G37" s="118" t="s">
        <v>848</v>
      </c>
      <c r="H37" s="118" t="s">
        <v>869</v>
      </c>
      <c r="I37" s="117" t="s">
        <v>870</v>
      </c>
      <c r="J37" s="111"/>
      <c r="K37" s="111"/>
      <c r="L37" s="117"/>
      <c r="M37" s="115" t="s">
        <v>559</v>
      </c>
      <c r="N37" s="414"/>
      <c r="O37" s="112"/>
      <c r="P37" s="112"/>
      <c r="Q37" s="112"/>
    </row>
    <row r="38" spans="1:17" x14ac:dyDescent="0.25">
      <c r="A38" s="109">
        <v>3</v>
      </c>
      <c r="B38" s="110" t="s">
        <v>93</v>
      </c>
      <c r="C38" s="110" t="s">
        <v>512</v>
      </c>
      <c r="D38" s="109" t="s">
        <v>841</v>
      </c>
      <c r="E38" s="109" t="s">
        <v>842</v>
      </c>
      <c r="F38" s="110" t="s">
        <v>843</v>
      </c>
      <c r="G38" s="110" t="s">
        <v>848</v>
      </c>
      <c r="H38" s="110" t="s">
        <v>859</v>
      </c>
      <c r="I38" s="109" t="s">
        <v>872</v>
      </c>
      <c r="J38" s="142">
        <v>192168254210</v>
      </c>
      <c r="K38" s="109" t="s">
        <v>876</v>
      </c>
      <c r="L38" s="117" t="s">
        <v>1341</v>
      </c>
      <c r="M38" s="115" t="s">
        <v>559</v>
      </c>
      <c r="N38" s="414"/>
      <c r="O38" s="112"/>
      <c r="P38" s="112"/>
      <c r="Q38" s="112"/>
    </row>
    <row r="39" spans="1:17" x14ac:dyDescent="0.25">
      <c r="A39" s="109">
        <v>3</v>
      </c>
      <c r="B39" s="110" t="s">
        <v>123</v>
      </c>
      <c r="C39" s="110" t="s">
        <v>203</v>
      </c>
      <c r="D39" s="109" t="s">
        <v>841</v>
      </c>
      <c r="E39" s="109" t="s">
        <v>842</v>
      </c>
      <c r="F39" s="110" t="s">
        <v>843</v>
      </c>
      <c r="G39" s="110" t="s">
        <v>844</v>
      </c>
      <c r="H39" s="110" t="s">
        <v>845</v>
      </c>
      <c r="I39" s="109" t="s">
        <v>880</v>
      </c>
      <c r="J39" s="142">
        <v>192168254220</v>
      </c>
      <c r="K39" s="109" t="s">
        <v>680</v>
      </c>
      <c r="L39" s="109" t="s">
        <v>681</v>
      </c>
      <c r="M39" s="115" t="s">
        <v>559</v>
      </c>
      <c r="N39" s="414"/>
      <c r="O39" s="112"/>
      <c r="P39" s="112"/>
      <c r="Q39" s="112"/>
    </row>
    <row r="40" spans="1:17" x14ac:dyDescent="0.25">
      <c r="A40" s="117">
        <v>1</v>
      </c>
      <c r="B40" s="118" t="s">
        <v>80</v>
      </c>
      <c r="C40" s="118" t="s">
        <v>955</v>
      </c>
      <c r="D40" s="117" t="s">
        <v>841</v>
      </c>
      <c r="E40" s="117" t="s">
        <v>842</v>
      </c>
      <c r="F40" s="118" t="s">
        <v>843</v>
      </c>
      <c r="G40" s="118" t="s">
        <v>844</v>
      </c>
      <c r="H40" s="118" t="s">
        <v>845</v>
      </c>
      <c r="I40" s="117" t="s">
        <v>846</v>
      </c>
      <c r="J40" s="117" t="s">
        <v>555</v>
      </c>
      <c r="K40" s="117" t="s">
        <v>557</v>
      </c>
      <c r="L40" s="117" t="s">
        <v>556</v>
      </c>
      <c r="M40" s="115" t="s">
        <v>559</v>
      </c>
      <c r="N40" s="414"/>
      <c r="O40" s="112"/>
      <c r="P40" s="112"/>
      <c r="Q40" s="112"/>
    </row>
    <row r="41" spans="1:17" x14ac:dyDescent="0.25">
      <c r="A41" s="30">
        <v>2</v>
      </c>
      <c r="B41" s="43" t="s">
        <v>14</v>
      </c>
      <c r="C41" s="43" t="s">
        <v>171</v>
      </c>
      <c r="D41" s="30" t="s">
        <v>196</v>
      </c>
      <c r="E41" s="30" t="s">
        <v>866</v>
      </c>
      <c r="F41" s="43" t="s">
        <v>867</v>
      </c>
      <c r="G41" s="43" t="s">
        <v>848</v>
      </c>
      <c r="H41" s="56">
        <v>3546</v>
      </c>
      <c r="I41" s="30" t="s">
        <v>868</v>
      </c>
      <c r="J41" s="197"/>
      <c r="K41" s="197"/>
      <c r="L41" s="30" t="s">
        <v>281</v>
      </c>
      <c r="M41" s="30" t="s">
        <v>667</v>
      </c>
      <c r="N41" s="414"/>
      <c r="O41" s="112"/>
      <c r="P41" s="112"/>
      <c r="Q41" s="112"/>
    </row>
  </sheetData>
  <autoFilter ref="A2:Q41" xr:uid="{2EE52302-ED83-4617-9DC5-8BB60FFBAE1A}"/>
  <mergeCells count="1">
    <mergeCell ref="A1:Q1"/>
  </mergeCells>
  <phoneticPr fontId="5" type="noConversion"/>
  <pageMargins left="0.511811024" right="0.511811024" top="0.78740157499999996" bottom="0.78740157499999996" header="0.31496062000000002" footer="0.31496062000000002"/>
  <pageSetup paperSize="9" scale="65" orientation="landscape" horizontalDpi="4294967293" verticalDpi="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 filterMode="1"/>
  <dimension ref="A1:L106"/>
  <sheetViews>
    <sheetView topLeftCell="A7" zoomScale="70" zoomScaleNormal="70" workbookViewId="0">
      <selection activeCell="G49" sqref="G49"/>
    </sheetView>
  </sheetViews>
  <sheetFormatPr defaultRowHeight="15" x14ac:dyDescent="0.25"/>
  <cols>
    <col min="1" max="1" width="37" bestFit="1" customWidth="1"/>
    <col min="2" max="2" width="11.42578125" style="1" bestFit="1" customWidth="1"/>
    <col min="3" max="3" width="13.140625" style="1" customWidth="1"/>
    <col min="4" max="4" width="20.5703125" style="1" bestFit="1" customWidth="1"/>
    <col min="5" max="5" width="22.42578125" style="1" bestFit="1" customWidth="1"/>
    <col min="6" max="6" width="45.5703125" customWidth="1"/>
    <col min="7" max="7" width="43.28515625" customWidth="1"/>
    <col min="8" max="8" width="42.42578125" customWidth="1"/>
    <col min="9" max="9" width="24.7109375" customWidth="1"/>
    <col min="10" max="10" width="25.5703125" customWidth="1"/>
    <col min="11" max="11" width="11" bestFit="1" customWidth="1"/>
    <col min="12" max="12" width="13.7109375" style="1" customWidth="1"/>
  </cols>
  <sheetData>
    <row r="1" spans="1:12" x14ac:dyDescent="0.25">
      <c r="A1" s="451" t="s">
        <v>499</v>
      </c>
      <c r="B1" s="451"/>
    </row>
    <row r="2" spans="1:12" x14ac:dyDescent="0.25">
      <c r="A2" s="16" t="s">
        <v>497</v>
      </c>
      <c r="B2" s="16" t="s">
        <v>498</v>
      </c>
    </row>
    <row r="3" spans="1:12" x14ac:dyDescent="0.25">
      <c r="A3" s="2" t="s">
        <v>596</v>
      </c>
      <c r="B3" s="2">
        <v>16</v>
      </c>
    </row>
    <row r="4" spans="1:12" x14ac:dyDescent="0.25">
      <c r="A4" s="3" t="s">
        <v>595</v>
      </c>
      <c r="B4" s="3">
        <v>30</v>
      </c>
    </row>
    <row r="5" spans="1:12" x14ac:dyDescent="0.25">
      <c r="A5" s="2" t="s">
        <v>594</v>
      </c>
      <c r="B5" s="2">
        <v>3</v>
      </c>
    </row>
    <row r="6" spans="1:12" x14ac:dyDescent="0.25">
      <c r="A6" s="3" t="s">
        <v>593</v>
      </c>
      <c r="B6" s="3">
        <v>4</v>
      </c>
    </row>
    <row r="7" spans="1:12" x14ac:dyDescent="0.25">
      <c r="A7" s="2" t="s">
        <v>592</v>
      </c>
      <c r="B7" s="2">
        <v>10</v>
      </c>
    </row>
    <row r="8" spans="1:12" x14ac:dyDescent="0.25">
      <c r="A8" s="3" t="s">
        <v>591</v>
      </c>
      <c r="B8" s="3">
        <v>4</v>
      </c>
    </row>
    <row r="9" spans="1:12" x14ac:dyDescent="0.25">
      <c r="A9" s="2" t="s">
        <v>586</v>
      </c>
      <c r="B9" s="2">
        <v>8</v>
      </c>
    </row>
    <row r="10" spans="1:12" x14ac:dyDescent="0.25">
      <c r="A10" s="2" t="s">
        <v>584</v>
      </c>
      <c r="B10" s="2">
        <v>6</v>
      </c>
    </row>
    <row r="11" spans="1:12" x14ac:dyDescent="0.25">
      <c r="B11" s="1">
        <f>SUM(B3:B10)</f>
        <v>81</v>
      </c>
      <c r="C11" s="50" t="s">
        <v>588</v>
      </c>
      <c r="D11" s="50" t="s">
        <v>670</v>
      </c>
      <c r="E11" s="50" t="s">
        <v>587</v>
      </c>
      <c r="F11" s="51" t="s">
        <v>583</v>
      </c>
      <c r="G11" s="51" t="s">
        <v>585</v>
      </c>
      <c r="H11" s="52" t="s">
        <v>1392</v>
      </c>
      <c r="I11" s="52" t="s">
        <v>1393</v>
      </c>
      <c r="J11" s="52" t="s">
        <v>1394</v>
      </c>
      <c r="K11" s="52" t="s">
        <v>217</v>
      </c>
      <c r="L11" s="50" t="s">
        <v>684</v>
      </c>
    </row>
    <row r="12" spans="1:12" hidden="1" x14ac:dyDescent="0.25">
      <c r="C12" s="203">
        <v>300</v>
      </c>
      <c r="D12" s="201"/>
      <c r="E12" s="204">
        <v>44809</v>
      </c>
      <c r="F12" s="55" t="s">
        <v>1527</v>
      </c>
      <c r="G12" s="200" t="s">
        <v>1503</v>
      </c>
      <c r="H12" s="202" t="s">
        <v>1529</v>
      </c>
      <c r="I12" s="132"/>
      <c r="J12" s="132"/>
      <c r="K12" s="55" t="s">
        <v>667</v>
      </c>
      <c r="L12" s="1" t="s">
        <v>682</v>
      </c>
    </row>
    <row r="13" spans="1:12" hidden="1" x14ac:dyDescent="0.25">
      <c r="C13" s="203">
        <v>300</v>
      </c>
      <c r="D13" s="201"/>
      <c r="E13" s="204">
        <v>44809</v>
      </c>
      <c r="F13" s="55" t="s">
        <v>1527</v>
      </c>
      <c r="G13" s="200" t="s">
        <v>1505</v>
      </c>
      <c r="H13" s="202"/>
      <c r="I13" s="132"/>
      <c r="J13" s="132"/>
      <c r="K13" s="55" t="s">
        <v>218</v>
      </c>
      <c r="L13" s="1" t="s">
        <v>682</v>
      </c>
    </row>
    <row r="14" spans="1:12" hidden="1" x14ac:dyDescent="0.25">
      <c r="C14" s="203">
        <v>300</v>
      </c>
      <c r="D14" s="201"/>
      <c r="E14" s="204">
        <v>44809</v>
      </c>
      <c r="F14" s="55" t="s">
        <v>1527</v>
      </c>
      <c r="G14" s="200" t="s">
        <v>1504</v>
      </c>
      <c r="H14" s="202" t="s">
        <v>1528</v>
      </c>
      <c r="I14" s="132"/>
      <c r="J14" s="132"/>
      <c r="K14" s="55" t="s">
        <v>667</v>
      </c>
      <c r="L14" s="1" t="s">
        <v>682</v>
      </c>
    </row>
    <row r="15" spans="1:12" hidden="1" x14ac:dyDescent="0.25">
      <c r="C15" s="203">
        <v>330</v>
      </c>
      <c r="D15" s="201">
        <v>1920</v>
      </c>
      <c r="E15" s="204">
        <v>44749</v>
      </c>
      <c r="F15" s="55" t="s">
        <v>1378</v>
      </c>
      <c r="G15" s="200" t="s">
        <v>1259</v>
      </c>
      <c r="H15" s="202" t="s">
        <v>1368</v>
      </c>
      <c r="I15" s="132"/>
      <c r="J15" s="132"/>
      <c r="K15" s="55" t="s">
        <v>667</v>
      </c>
      <c r="L15" s="1" t="s">
        <v>682</v>
      </c>
    </row>
    <row r="16" spans="1:12" hidden="1" x14ac:dyDescent="0.25">
      <c r="C16" s="203">
        <v>330</v>
      </c>
      <c r="D16" s="201">
        <v>1920</v>
      </c>
      <c r="E16" s="204">
        <v>44749</v>
      </c>
      <c r="F16" s="55" t="s">
        <v>1378</v>
      </c>
      <c r="G16" s="200" t="s">
        <v>1260</v>
      </c>
      <c r="H16" s="202" t="s">
        <v>1369</v>
      </c>
      <c r="I16" s="132"/>
      <c r="J16" s="132"/>
      <c r="K16" s="55" t="s">
        <v>667</v>
      </c>
      <c r="L16" s="1" t="s">
        <v>682</v>
      </c>
    </row>
    <row r="17" spans="3:12" hidden="1" x14ac:dyDescent="0.25">
      <c r="C17" s="203">
        <v>330</v>
      </c>
      <c r="D17" s="201">
        <v>1920</v>
      </c>
      <c r="E17" s="204">
        <v>44749</v>
      </c>
      <c r="F17" s="55" t="s">
        <v>1378</v>
      </c>
      <c r="G17" s="200" t="s">
        <v>1261</v>
      </c>
      <c r="H17" s="202" t="s">
        <v>1370</v>
      </c>
      <c r="I17" s="132"/>
      <c r="J17" s="132"/>
      <c r="K17" s="55" t="s">
        <v>667</v>
      </c>
      <c r="L17" s="1" t="s">
        <v>682</v>
      </c>
    </row>
    <row r="18" spans="3:12" hidden="1" x14ac:dyDescent="0.25">
      <c r="C18" s="203">
        <v>330</v>
      </c>
      <c r="D18" s="201">
        <v>1920</v>
      </c>
      <c r="E18" s="204">
        <v>44749</v>
      </c>
      <c r="F18" s="55" t="s">
        <v>1378</v>
      </c>
      <c r="G18" s="200" t="s">
        <v>1262</v>
      </c>
      <c r="H18" s="202" t="s">
        <v>1371</v>
      </c>
      <c r="I18" s="132"/>
      <c r="J18" s="132"/>
      <c r="K18" s="55" t="s">
        <v>667</v>
      </c>
      <c r="L18" s="1" t="s">
        <v>682</v>
      </c>
    </row>
    <row r="19" spans="3:12" hidden="1" x14ac:dyDescent="0.25">
      <c r="C19" s="203">
        <v>330</v>
      </c>
      <c r="D19" s="201">
        <v>1920</v>
      </c>
      <c r="E19" s="204">
        <v>44749</v>
      </c>
      <c r="F19" s="55" t="s">
        <v>1378</v>
      </c>
      <c r="G19" s="200" t="s">
        <v>1263</v>
      </c>
      <c r="H19" s="202" t="s">
        <v>1372</v>
      </c>
      <c r="I19" s="132"/>
      <c r="J19" s="132"/>
      <c r="K19" s="55" t="s">
        <v>667</v>
      </c>
      <c r="L19" s="1" t="s">
        <v>682</v>
      </c>
    </row>
    <row r="20" spans="3:12" hidden="1" x14ac:dyDescent="0.25">
      <c r="C20" s="203">
        <v>330</v>
      </c>
      <c r="D20" s="201">
        <v>1920</v>
      </c>
      <c r="E20" s="204">
        <v>44749</v>
      </c>
      <c r="F20" s="55" t="s">
        <v>1378</v>
      </c>
      <c r="G20" s="200" t="s">
        <v>1264</v>
      </c>
      <c r="H20" s="202" t="s">
        <v>1373</v>
      </c>
      <c r="I20" s="132"/>
      <c r="J20" s="132"/>
      <c r="K20" s="55" t="s">
        <v>667</v>
      </c>
      <c r="L20" s="1" t="s">
        <v>682</v>
      </c>
    </row>
    <row r="21" spans="3:12" hidden="1" x14ac:dyDescent="0.25">
      <c r="C21" s="203">
        <v>330</v>
      </c>
      <c r="D21" s="201">
        <v>1920</v>
      </c>
      <c r="E21" s="204">
        <v>44749</v>
      </c>
      <c r="F21" s="55" t="s">
        <v>1378</v>
      </c>
      <c r="G21" s="200" t="s">
        <v>1265</v>
      </c>
      <c r="H21" s="202" t="s">
        <v>1374</v>
      </c>
      <c r="I21" s="132"/>
      <c r="J21" s="132"/>
      <c r="K21" s="55" t="s">
        <v>667</v>
      </c>
      <c r="L21" s="1" t="s">
        <v>682</v>
      </c>
    </row>
    <row r="22" spans="3:12" hidden="1" x14ac:dyDescent="0.25">
      <c r="C22" s="203">
        <v>330</v>
      </c>
      <c r="D22" s="201">
        <v>1920</v>
      </c>
      <c r="E22" s="204">
        <v>44749</v>
      </c>
      <c r="F22" s="55" t="s">
        <v>1378</v>
      </c>
      <c r="G22" s="200" t="s">
        <v>1266</v>
      </c>
      <c r="H22" s="202" t="s">
        <v>1375</v>
      </c>
      <c r="I22" s="132"/>
      <c r="J22" s="132"/>
      <c r="K22" s="55" t="s">
        <v>667</v>
      </c>
      <c r="L22" s="1" t="s">
        <v>682</v>
      </c>
    </row>
    <row r="23" spans="3:12" hidden="1" x14ac:dyDescent="0.25">
      <c r="C23" s="203">
        <v>330</v>
      </c>
      <c r="D23" s="201">
        <v>1920</v>
      </c>
      <c r="E23" s="204">
        <v>44749</v>
      </c>
      <c r="F23" s="55" t="s">
        <v>1378</v>
      </c>
      <c r="G23" s="200" t="s">
        <v>1267</v>
      </c>
      <c r="H23" s="202" t="s">
        <v>1376</v>
      </c>
      <c r="I23" s="132"/>
      <c r="J23" s="132"/>
      <c r="K23" s="55" t="s">
        <v>667</v>
      </c>
      <c r="L23" s="1" t="s">
        <v>682</v>
      </c>
    </row>
    <row r="24" spans="3:12" hidden="1" x14ac:dyDescent="0.25">
      <c r="C24" s="203">
        <v>330</v>
      </c>
      <c r="D24" s="201">
        <v>1920</v>
      </c>
      <c r="E24" s="204">
        <v>44749</v>
      </c>
      <c r="F24" s="55" t="s">
        <v>1378</v>
      </c>
      <c r="G24" s="200" t="s">
        <v>1268</v>
      </c>
      <c r="H24" s="202" t="s">
        <v>1377</v>
      </c>
      <c r="I24" s="132"/>
      <c r="J24" s="132"/>
      <c r="K24" s="55" t="s">
        <v>667</v>
      </c>
      <c r="L24" s="1" t="s">
        <v>682</v>
      </c>
    </row>
    <row r="25" spans="3:12" hidden="1" x14ac:dyDescent="0.25">
      <c r="C25" s="53">
        <v>215</v>
      </c>
      <c r="D25" s="54">
        <v>3689513</v>
      </c>
      <c r="E25" s="48">
        <v>44342</v>
      </c>
      <c r="F25" s="55" t="s">
        <v>584</v>
      </c>
      <c r="G25" s="55" t="s">
        <v>579</v>
      </c>
      <c r="H25" s="55" t="s">
        <v>769</v>
      </c>
      <c r="I25" s="132"/>
      <c r="J25" s="132"/>
      <c r="K25" s="55" t="s">
        <v>667</v>
      </c>
      <c r="L25" s="1" t="s">
        <v>682</v>
      </c>
    </row>
    <row r="26" spans="3:12" hidden="1" x14ac:dyDescent="0.25">
      <c r="C26" s="53">
        <v>215</v>
      </c>
      <c r="D26" s="54">
        <v>3689513</v>
      </c>
      <c r="E26" s="48">
        <v>44342</v>
      </c>
      <c r="F26" s="55" t="s">
        <v>584</v>
      </c>
      <c r="G26" s="55" t="s">
        <v>589</v>
      </c>
      <c r="H26" s="55" t="s">
        <v>770</v>
      </c>
      <c r="I26" s="132"/>
      <c r="J26" s="132"/>
      <c r="K26" s="55" t="s">
        <v>667</v>
      </c>
      <c r="L26" s="1" t="s">
        <v>682</v>
      </c>
    </row>
    <row r="27" spans="3:12" hidden="1" x14ac:dyDescent="0.25">
      <c r="C27" s="53">
        <v>215</v>
      </c>
      <c r="D27" s="54">
        <v>3689513</v>
      </c>
      <c r="E27" s="48">
        <v>44342</v>
      </c>
      <c r="F27" s="55" t="s">
        <v>584</v>
      </c>
      <c r="G27" s="55" t="s">
        <v>590</v>
      </c>
      <c r="H27" s="55" t="s">
        <v>771</v>
      </c>
      <c r="I27" s="132"/>
      <c r="J27" s="132"/>
      <c r="K27" s="55" t="s">
        <v>667</v>
      </c>
      <c r="L27" s="1" t="s">
        <v>682</v>
      </c>
    </row>
    <row r="28" spans="3:12" hidden="1" x14ac:dyDescent="0.25">
      <c r="C28" s="128">
        <v>215</v>
      </c>
      <c r="D28" s="129">
        <v>3689513</v>
      </c>
      <c r="E28" s="130">
        <v>44342</v>
      </c>
      <c r="F28" s="131" t="s">
        <v>584</v>
      </c>
      <c r="G28" s="131" t="s">
        <v>967</v>
      </c>
      <c r="H28" s="131" t="s">
        <v>1363</v>
      </c>
      <c r="I28" s="132"/>
      <c r="J28" s="132"/>
      <c r="K28" s="55" t="s">
        <v>667</v>
      </c>
      <c r="L28" s="1" t="s">
        <v>682</v>
      </c>
    </row>
    <row r="29" spans="3:12" hidden="1" x14ac:dyDescent="0.25">
      <c r="C29" s="120">
        <v>215</v>
      </c>
      <c r="D29" s="121">
        <v>3689513</v>
      </c>
      <c r="E29" s="122">
        <v>44342</v>
      </c>
      <c r="F29" s="123" t="s">
        <v>584</v>
      </c>
      <c r="G29" s="123" t="s">
        <v>686</v>
      </c>
      <c r="H29" s="123" t="s">
        <v>966</v>
      </c>
      <c r="I29" s="134"/>
      <c r="J29" s="134"/>
      <c r="K29" s="123" t="s">
        <v>218</v>
      </c>
      <c r="L29" s="1" t="s">
        <v>682</v>
      </c>
    </row>
    <row r="30" spans="3:12" hidden="1" x14ac:dyDescent="0.25">
      <c r="C30" s="124">
        <v>215</v>
      </c>
      <c r="D30" s="125">
        <v>3689513</v>
      </c>
      <c r="E30" s="126">
        <v>44342</v>
      </c>
      <c r="F30" s="127" t="s">
        <v>584</v>
      </c>
      <c r="G30" s="127" t="s">
        <v>687</v>
      </c>
      <c r="H30" s="127" t="s">
        <v>966</v>
      </c>
      <c r="I30" s="135"/>
      <c r="J30" s="135"/>
      <c r="K30" s="127" t="s">
        <v>218</v>
      </c>
      <c r="L30" s="57" t="s">
        <v>682</v>
      </c>
    </row>
    <row r="31" spans="3:12" hidden="1" x14ac:dyDescent="0.25">
      <c r="C31" s="61" t="s">
        <v>976</v>
      </c>
      <c r="D31" s="96">
        <v>2870956</v>
      </c>
      <c r="E31" s="48">
        <v>44270</v>
      </c>
      <c r="F31" s="55" t="s">
        <v>732</v>
      </c>
      <c r="G31" s="55" t="s">
        <v>731</v>
      </c>
      <c r="H31" s="55" t="s">
        <v>772</v>
      </c>
      <c r="I31" s="132" t="s">
        <v>1689</v>
      </c>
      <c r="J31" s="132"/>
      <c r="K31" s="55" t="s">
        <v>667</v>
      </c>
      <c r="L31" s="1" t="s">
        <v>682</v>
      </c>
    </row>
    <row r="32" spans="3:12" hidden="1" x14ac:dyDescent="0.25">
      <c r="C32" s="61" t="s">
        <v>976</v>
      </c>
      <c r="D32" s="96">
        <v>2870956</v>
      </c>
      <c r="E32" s="48">
        <v>44270</v>
      </c>
      <c r="F32" s="55" t="s">
        <v>732</v>
      </c>
      <c r="G32" s="55" t="s">
        <v>733</v>
      </c>
      <c r="H32" s="55" t="s">
        <v>773</v>
      </c>
      <c r="I32" s="132"/>
      <c r="J32" s="132"/>
      <c r="K32" s="55" t="s">
        <v>667</v>
      </c>
      <c r="L32" s="1" t="s">
        <v>682</v>
      </c>
    </row>
    <row r="33" spans="3:12" hidden="1" x14ac:dyDescent="0.25">
      <c r="C33" s="95" t="s">
        <v>976</v>
      </c>
      <c r="D33" s="97">
        <v>2870956</v>
      </c>
      <c r="E33" s="98">
        <v>44270</v>
      </c>
      <c r="F33" s="94" t="s">
        <v>732</v>
      </c>
      <c r="G33" s="94" t="s">
        <v>734</v>
      </c>
      <c r="H33" s="94" t="s">
        <v>774</v>
      </c>
      <c r="I33" s="133"/>
      <c r="J33" s="133"/>
      <c r="K33" s="94" t="s">
        <v>667</v>
      </c>
      <c r="L33" s="57" t="s">
        <v>682</v>
      </c>
    </row>
    <row r="34" spans="3:12" hidden="1" x14ac:dyDescent="0.25">
      <c r="C34" s="53">
        <v>261.76</v>
      </c>
      <c r="D34" s="60">
        <v>3512644</v>
      </c>
      <c r="E34" s="48">
        <v>44266</v>
      </c>
      <c r="F34" s="55" t="s">
        <v>586</v>
      </c>
      <c r="G34" s="55" t="s">
        <v>598</v>
      </c>
      <c r="H34" s="55" t="s">
        <v>775</v>
      </c>
      <c r="I34" s="132"/>
      <c r="J34" s="132"/>
      <c r="K34" s="55" t="s">
        <v>667</v>
      </c>
      <c r="L34" s="1" t="s">
        <v>682</v>
      </c>
    </row>
    <row r="35" spans="3:12" hidden="1" x14ac:dyDescent="0.25">
      <c r="C35" s="53">
        <v>261.76</v>
      </c>
      <c r="D35" s="60">
        <v>3512644</v>
      </c>
      <c r="E35" s="48">
        <v>44266</v>
      </c>
      <c r="F35" s="55" t="s">
        <v>586</v>
      </c>
      <c r="G35" s="55" t="s">
        <v>577</v>
      </c>
      <c r="H35" s="55" t="s">
        <v>776</v>
      </c>
      <c r="I35" s="132"/>
      <c r="J35" s="132"/>
      <c r="K35" s="55" t="s">
        <v>667</v>
      </c>
      <c r="L35" s="1" t="s">
        <v>682</v>
      </c>
    </row>
    <row r="36" spans="3:12" hidden="1" x14ac:dyDescent="0.25">
      <c r="C36" s="53">
        <v>261.76</v>
      </c>
      <c r="D36" s="60">
        <v>3512644</v>
      </c>
      <c r="E36" s="48">
        <v>44266</v>
      </c>
      <c r="F36" s="55" t="s">
        <v>586</v>
      </c>
      <c r="G36" s="55" t="s">
        <v>599</v>
      </c>
      <c r="H36" s="55" t="s">
        <v>777</v>
      </c>
      <c r="I36" s="132"/>
      <c r="J36" s="132"/>
      <c r="K36" s="55" t="s">
        <v>667</v>
      </c>
      <c r="L36" s="1" t="s">
        <v>682</v>
      </c>
    </row>
    <row r="37" spans="3:12" hidden="1" x14ac:dyDescent="0.25">
      <c r="C37" s="61">
        <v>261.76</v>
      </c>
      <c r="D37" s="62">
        <v>3512644</v>
      </c>
      <c r="E37" s="48">
        <v>44266</v>
      </c>
      <c r="F37" s="55" t="s">
        <v>586</v>
      </c>
      <c r="G37" s="55" t="s">
        <v>600</v>
      </c>
      <c r="H37" s="55" t="s">
        <v>778</v>
      </c>
      <c r="I37" s="132"/>
      <c r="J37" s="132"/>
      <c r="K37" s="55" t="s">
        <v>667</v>
      </c>
      <c r="L37" s="1" t="s">
        <v>682</v>
      </c>
    </row>
    <row r="38" spans="3:12" hidden="1" x14ac:dyDescent="0.25">
      <c r="C38" s="95">
        <v>261.76</v>
      </c>
      <c r="D38" s="245">
        <v>3512644</v>
      </c>
      <c r="E38" s="98">
        <v>44266</v>
      </c>
      <c r="F38" s="94" t="s">
        <v>586</v>
      </c>
      <c r="G38" s="94" t="s">
        <v>597</v>
      </c>
      <c r="H38" s="94" t="s">
        <v>977</v>
      </c>
      <c r="I38" s="94" t="s">
        <v>343</v>
      </c>
      <c r="J38" s="133"/>
      <c r="K38" s="55" t="s">
        <v>667</v>
      </c>
      <c r="L38" s="1" t="s">
        <v>1484</v>
      </c>
    </row>
    <row r="39" spans="3:12" hidden="1" x14ac:dyDescent="0.25">
      <c r="C39" s="53" t="s">
        <v>573</v>
      </c>
      <c r="D39" s="53"/>
      <c r="E39" s="48">
        <v>42291</v>
      </c>
      <c r="F39" s="55" t="s">
        <v>591</v>
      </c>
      <c r="G39" s="55" t="s">
        <v>669</v>
      </c>
      <c r="H39" s="55" t="s">
        <v>779</v>
      </c>
      <c r="I39" s="202" t="s">
        <v>1531</v>
      </c>
      <c r="J39" s="205"/>
      <c r="K39" s="55" t="s">
        <v>667</v>
      </c>
      <c r="L39" s="1" t="s">
        <v>683</v>
      </c>
    </row>
    <row r="40" spans="3:12" hidden="1" x14ac:dyDescent="0.25">
      <c r="C40" s="53" t="s">
        <v>573</v>
      </c>
      <c r="D40" s="49"/>
      <c r="E40" s="49"/>
      <c r="F40" s="55" t="s">
        <v>591</v>
      </c>
      <c r="G40" s="55" t="s">
        <v>582</v>
      </c>
      <c r="H40" s="55" t="s">
        <v>1396</v>
      </c>
      <c r="I40" s="55" t="s">
        <v>1397</v>
      </c>
      <c r="J40" s="55" t="s">
        <v>1395</v>
      </c>
      <c r="K40" s="55" t="s">
        <v>667</v>
      </c>
      <c r="L40" s="1" t="s">
        <v>683</v>
      </c>
    </row>
    <row r="41" spans="3:12" hidden="1" x14ac:dyDescent="0.25">
      <c r="C41" s="136" t="s">
        <v>573</v>
      </c>
      <c r="D41" s="137" t="s">
        <v>995</v>
      </c>
      <c r="E41" s="137"/>
      <c r="F41" s="138" t="s">
        <v>591</v>
      </c>
      <c r="G41" s="138" t="s">
        <v>601</v>
      </c>
      <c r="H41" s="138" t="s">
        <v>218</v>
      </c>
      <c r="I41" s="138" t="s">
        <v>218</v>
      </c>
      <c r="J41" s="138"/>
      <c r="K41" s="138" t="s">
        <v>218</v>
      </c>
      <c r="L41" s="137" t="s">
        <v>683</v>
      </c>
    </row>
    <row r="42" spans="3:12" hidden="1" x14ac:dyDescent="0.25">
      <c r="C42" s="139" t="s">
        <v>573</v>
      </c>
      <c r="D42" s="140" t="s">
        <v>995</v>
      </c>
      <c r="E42" s="140"/>
      <c r="F42" s="141" t="s">
        <v>591</v>
      </c>
      <c r="G42" s="141" t="s">
        <v>602</v>
      </c>
      <c r="H42" s="141" t="s">
        <v>1690</v>
      </c>
      <c r="I42" s="141" t="s">
        <v>218</v>
      </c>
      <c r="J42" s="141"/>
      <c r="K42" s="141" t="s">
        <v>218</v>
      </c>
      <c r="L42" s="140" t="s">
        <v>683</v>
      </c>
    </row>
    <row r="43" spans="3:12" hidden="1" x14ac:dyDescent="0.25">
      <c r="C43" s="49" t="s">
        <v>573</v>
      </c>
      <c r="D43" s="49"/>
      <c r="E43" s="49"/>
      <c r="F43" s="55" t="s">
        <v>592</v>
      </c>
      <c r="G43" s="55" t="s">
        <v>603</v>
      </c>
      <c r="H43" s="55" t="s">
        <v>1344</v>
      </c>
      <c r="I43" s="55" t="s">
        <v>766</v>
      </c>
      <c r="J43" s="205" t="s">
        <v>218</v>
      </c>
      <c r="K43" s="55" t="s">
        <v>667</v>
      </c>
      <c r="L43" s="1" t="s">
        <v>683</v>
      </c>
    </row>
    <row r="44" spans="3:12" hidden="1" x14ac:dyDescent="0.25">
      <c r="C44" s="49" t="s">
        <v>573</v>
      </c>
      <c r="D44" s="49"/>
      <c r="E44" s="49"/>
      <c r="F44" s="55" t="s">
        <v>592</v>
      </c>
      <c r="G44" s="55" t="s">
        <v>605</v>
      </c>
      <c r="H44" s="55" t="s">
        <v>765</v>
      </c>
      <c r="I44" s="205" t="s">
        <v>1686</v>
      </c>
      <c r="J44" s="205" t="s">
        <v>218</v>
      </c>
      <c r="K44" s="55" t="s">
        <v>667</v>
      </c>
      <c r="L44" s="1" t="s">
        <v>683</v>
      </c>
    </row>
    <row r="45" spans="3:12" hidden="1" x14ac:dyDescent="0.25">
      <c r="C45" s="49" t="s">
        <v>573</v>
      </c>
      <c r="D45" s="49"/>
      <c r="E45" s="49"/>
      <c r="F45" s="55" t="s">
        <v>592</v>
      </c>
      <c r="G45" s="55" t="s">
        <v>612</v>
      </c>
      <c r="H45" s="55" t="s">
        <v>1379</v>
      </c>
      <c r="I45" s="205" t="s">
        <v>218</v>
      </c>
      <c r="J45" s="205" t="s">
        <v>218</v>
      </c>
      <c r="K45" s="55" t="s">
        <v>667</v>
      </c>
      <c r="L45" s="1" t="s">
        <v>683</v>
      </c>
    </row>
    <row r="46" spans="3:12" hidden="1" x14ac:dyDescent="0.25">
      <c r="C46" s="49" t="s">
        <v>573</v>
      </c>
      <c r="D46" s="49"/>
      <c r="E46" s="49"/>
      <c r="F46" s="55" t="s">
        <v>592</v>
      </c>
      <c r="G46" s="55" t="s">
        <v>610</v>
      </c>
      <c r="H46" s="55" t="s">
        <v>1364</v>
      </c>
      <c r="I46" s="205" t="s">
        <v>218</v>
      </c>
      <c r="J46" s="205" t="s">
        <v>218</v>
      </c>
      <c r="K46" s="55" t="s">
        <v>667</v>
      </c>
      <c r="L46" s="1" t="s">
        <v>683</v>
      </c>
    </row>
    <row r="47" spans="3:12" hidden="1" x14ac:dyDescent="0.25">
      <c r="C47" s="49" t="s">
        <v>573</v>
      </c>
      <c r="D47" s="49"/>
      <c r="E47" s="49"/>
      <c r="F47" s="55" t="s">
        <v>592</v>
      </c>
      <c r="G47" s="55" t="s">
        <v>611</v>
      </c>
      <c r="H47" s="55" t="s">
        <v>812</v>
      </c>
      <c r="I47" s="205" t="s">
        <v>218</v>
      </c>
      <c r="J47" s="205" t="s">
        <v>218</v>
      </c>
      <c r="K47" s="55" t="s">
        <v>667</v>
      </c>
      <c r="L47" s="1" t="s">
        <v>683</v>
      </c>
    </row>
    <row r="48" spans="3:12" hidden="1" x14ac:dyDescent="0.25">
      <c r="C48" s="49" t="s">
        <v>573</v>
      </c>
      <c r="D48" s="49"/>
      <c r="E48" s="49"/>
      <c r="F48" s="55" t="s">
        <v>592</v>
      </c>
      <c r="G48" s="55" t="s">
        <v>613</v>
      </c>
      <c r="H48" s="55" t="s">
        <v>767</v>
      </c>
      <c r="I48" s="202" t="s">
        <v>1540</v>
      </c>
      <c r="J48" s="205" t="s">
        <v>218</v>
      </c>
      <c r="K48" s="55" t="s">
        <v>667</v>
      </c>
      <c r="L48" s="1" t="s">
        <v>683</v>
      </c>
    </row>
    <row r="49" spans="2:12" x14ac:dyDescent="0.25">
      <c r="C49" s="49" t="s">
        <v>573</v>
      </c>
      <c r="D49" s="49"/>
      <c r="E49" s="49"/>
      <c r="F49" s="55" t="s">
        <v>592</v>
      </c>
      <c r="G49" s="55" t="s">
        <v>609</v>
      </c>
      <c r="H49" s="55" t="s">
        <v>978</v>
      </c>
      <c r="I49" s="55" t="s">
        <v>1391</v>
      </c>
      <c r="J49" s="55" t="s">
        <v>67</v>
      </c>
      <c r="K49" s="55" t="s">
        <v>667</v>
      </c>
      <c r="L49" s="1" t="s">
        <v>683</v>
      </c>
    </row>
    <row r="50" spans="2:12" hidden="1" x14ac:dyDescent="0.25">
      <c r="C50" s="49" t="s">
        <v>573</v>
      </c>
      <c r="D50" s="49"/>
      <c r="E50" s="49"/>
      <c r="F50" s="55" t="s">
        <v>592</v>
      </c>
      <c r="G50" s="55" t="s">
        <v>608</v>
      </c>
      <c r="H50" s="55" t="s">
        <v>1380</v>
      </c>
      <c r="I50" s="202" t="s">
        <v>1678</v>
      </c>
      <c r="J50" s="205" t="s">
        <v>218</v>
      </c>
      <c r="K50" s="55" t="s">
        <v>667</v>
      </c>
      <c r="L50" s="1" t="s">
        <v>683</v>
      </c>
    </row>
    <row r="51" spans="2:12" hidden="1" x14ac:dyDescent="0.25">
      <c r="C51" s="49" t="s">
        <v>573</v>
      </c>
      <c r="D51" s="49"/>
      <c r="E51" s="49"/>
      <c r="F51" s="55" t="s">
        <v>592</v>
      </c>
      <c r="G51" s="55" t="s">
        <v>606</v>
      </c>
      <c r="H51" s="55" t="s">
        <v>1688</v>
      </c>
      <c r="I51" s="55" t="s">
        <v>975</v>
      </c>
      <c r="J51" s="205" t="s">
        <v>218</v>
      </c>
      <c r="K51" s="55" t="s">
        <v>667</v>
      </c>
      <c r="L51" s="1" t="s">
        <v>683</v>
      </c>
    </row>
    <row r="52" spans="2:12" hidden="1" x14ac:dyDescent="0.25">
      <c r="C52" s="93" t="s">
        <v>573</v>
      </c>
      <c r="D52" s="93"/>
      <c r="E52" s="93"/>
      <c r="F52" s="94" t="s">
        <v>592</v>
      </c>
      <c r="G52" s="94" t="s">
        <v>607</v>
      </c>
      <c r="H52" s="94" t="s">
        <v>1381</v>
      </c>
      <c r="I52" s="206" t="s">
        <v>218</v>
      </c>
      <c r="J52" s="206" t="s">
        <v>218</v>
      </c>
      <c r="K52" s="105" t="s">
        <v>667</v>
      </c>
      <c r="L52" s="57" t="s">
        <v>683</v>
      </c>
    </row>
    <row r="53" spans="2:12" hidden="1" x14ac:dyDescent="0.25">
      <c r="C53" s="49" t="s">
        <v>573</v>
      </c>
      <c r="D53" s="49"/>
      <c r="E53" s="49"/>
      <c r="F53" s="55" t="s">
        <v>593</v>
      </c>
      <c r="G53" s="55" t="s">
        <v>616</v>
      </c>
      <c r="H53" s="55" t="s">
        <v>1382</v>
      </c>
      <c r="I53" s="55" t="s">
        <v>1250</v>
      </c>
      <c r="J53" s="205" t="s">
        <v>218</v>
      </c>
      <c r="K53" s="55" t="s">
        <v>667</v>
      </c>
      <c r="L53" s="1" t="s">
        <v>683</v>
      </c>
    </row>
    <row r="54" spans="2:12" hidden="1" x14ac:dyDescent="0.25">
      <c r="C54" s="49" t="s">
        <v>573</v>
      </c>
      <c r="D54" s="49"/>
      <c r="E54" s="49"/>
      <c r="F54" s="55" t="s">
        <v>593</v>
      </c>
      <c r="G54" s="55" t="s">
        <v>614</v>
      </c>
      <c r="H54" s="55" t="s">
        <v>1383</v>
      </c>
      <c r="I54" s="55" t="s">
        <v>1061</v>
      </c>
      <c r="J54" s="205" t="s">
        <v>218</v>
      </c>
      <c r="K54" s="55" t="s">
        <v>667</v>
      </c>
      <c r="L54" s="1" t="s">
        <v>683</v>
      </c>
    </row>
    <row r="55" spans="2:12" hidden="1" x14ac:dyDescent="0.25">
      <c r="B55" s="25"/>
      <c r="C55" s="49" t="s">
        <v>573</v>
      </c>
      <c r="D55" s="49"/>
      <c r="E55" s="49"/>
      <c r="F55" s="55" t="s">
        <v>593</v>
      </c>
      <c r="G55" s="55" t="s">
        <v>615</v>
      </c>
      <c r="H55" s="55" t="s">
        <v>764</v>
      </c>
      <c r="I55" s="55" t="s">
        <v>1702</v>
      </c>
      <c r="J55" s="205" t="s">
        <v>218</v>
      </c>
      <c r="K55" s="55" t="s">
        <v>667</v>
      </c>
      <c r="L55" s="1" t="s">
        <v>683</v>
      </c>
    </row>
    <row r="56" spans="2:12" hidden="1" x14ac:dyDescent="0.25">
      <c r="C56" s="49" t="s">
        <v>573</v>
      </c>
      <c r="D56" s="49"/>
      <c r="E56" s="49"/>
      <c r="F56" s="55" t="s">
        <v>593</v>
      </c>
      <c r="G56" s="55" t="s">
        <v>617</v>
      </c>
      <c r="H56" s="55" t="s">
        <v>1384</v>
      </c>
      <c r="I56" s="55" t="s">
        <v>1026</v>
      </c>
      <c r="J56" s="205" t="s">
        <v>218</v>
      </c>
      <c r="K56" s="55" t="s">
        <v>667</v>
      </c>
      <c r="L56" s="1" t="s">
        <v>683</v>
      </c>
    </row>
    <row r="57" spans="2:12" hidden="1" x14ac:dyDescent="0.25">
      <c r="C57" s="57" t="s">
        <v>573</v>
      </c>
      <c r="D57" s="57" t="s">
        <v>986</v>
      </c>
      <c r="E57" s="57"/>
      <c r="F57" s="58" t="s">
        <v>983</v>
      </c>
      <c r="G57" s="58" t="s">
        <v>984</v>
      </c>
      <c r="H57" s="209" t="s">
        <v>218</v>
      </c>
      <c r="I57" s="209" t="s">
        <v>218</v>
      </c>
      <c r="J57" s="209" t="s">
        <v>218</v>
      </c>
      <c r="K57" s="209" t="s">
        <v>218</v>
      </c>
      <c r="L57" s="57" t="s">
        <v>683</v>
      </c>
    </row>
    <row r="58" spans="2:12" hidden="1" x14ac:dyDescent="0.25">
      <c r="C58" s="1" t="s">
        <v>573</v>
      </c>
      <c r="F58" t="s">
        <v>594</v>
      </c>
      <c r="G58" t="s">
        <v>618</v>
      </c>
      <c r="H58" s="157" t="s">
        <v>218</v>
      </c>
      <c r="I58" s="157" t="s">
        <v>218</v>
      </c>
      <c r="J58" s="157" t="s">
        <v>218</v>
      </c>
      <c r="K58" s="157" t="s">
        <v>218</v>
      </c>
      <c r="L58" s="1" t="s">
        <v>683</v>
      </c>
    </row>
    <row r="59" spans="2:12" hidden="1" x14ac:dyDescent="0.25">
      <c r="C59" s="1" t="s">
        <v>573</v>
      </c>
      <c r="F59" t="s">
        <v>594</v>
      </c>
      <c r="G59" t="s">
        <v>619</v>
      </c>
      <c r="H59" s="157" t="s">
        <v>218</v>
      </c>
      <c r="I59" s="157" t="s">
        <v>218</v>
      </c>
      <c r="J59" s="157" t="s">
        <v>218</v>
      </c>
      <c r="K59" s="157" t="s">
        <v>218</v>
      </c>
      <c r="L59" s="1" t="s">
        <v>683</v>
      </c>
    </row>
    <row r="60" spans="2:12" hidden="1" x14ac:dyDescent="0.25">
      <c r="C60" s="57" t="s">
        <v>573</v>
      </c>
      <c r="D60" s="57"/>
      <c r="E60" s="57"/>
      <c r="F60" s="58" t="s">
        <v>594</v>
      </c>
      <c r="G60" s="58" t="s">
        <v>620</v>
      </c>
      <c r="H60" s="209" t="s">
        <v>218</v>
      </c>
      <c r="I60" s="209" t="s">
        <v>218</v>
      </c>
      <c r="J60" s="209" t="s">
        <v>218</v>
      </c>
      <c r="K60" s="209" t="s">
        <v>218</v>
      </c>
      <c r="L60" s="57" t="s">
        <v>683</v>
      </c>
    </row>
    <row r="61" spans="2:12" hidden="1" x14ac:dyDescent="0.25">
      <c r="C61" s="49" t="s">
        <v>573</v>
      </c>
      <c r="D61" s="49"/>
      <c r="E61" s="49"/>
      <c r="F61" s="55" t="s">
        <v>595</v>
      </c>
      <c r="G61" s="55" t="s">
        <v>622</v>
      </c>
      <c r="H61" s="55" t="s">
        <v>977</v>
      </c>
      <c r="I61" s="207" t="s">
        <v>218</v>
      </c>
      <c r="J61" s="207" t="s">
        <v>218</v>
      </c>
      <c r="K61" s="55" t="s">
        <v>667</v>
      </c>
      <c r="L61" s="1" t="s">
        <v>685</v>
      </c>
    </row>
    <row r="62" spans="2:12" hidden="1" x14ac:dyDescent="0.25">
      <c r="C62" s="49" t="s">
        <v>573</v>
      </c>
      <c r="D62" s="49"/>
      <c r="E62" s="49"/>
      <c r="F62" s="55" t="s">
        <v>595</v>
      </c>
      <c r="G62" s="55" t="s">
        <v>634</v>
      </c>
      <c r="H62" s="55" t="s">
        <v>985</v>
      </c>
      <c r="I62" s="55" t="s">
        <v>1385</v>
      </c>
      <c r="J62" s="207" t="s">
        <v>218</v>
      </c>
      <c r="K62" s="55" t="s">
        <v>667</v>
      </c>
      <c r="L62" s="1" t="s">
        <v>685</v>
      </c>
    </row>
    <row r="63" spans="2:12" hidden="1" x14ac:dyDescent="0.25">
      <c r="C63" s="49" t="s">
        <v>573</v>
      </c>
      <c r="D63" s="49"/>
      <c r="E63" s="49"/>
      <c r="F63" s="55" t="s">
        <v>595</v>
      </c>
      <c r="G63" s="55" t="s">
        <v>623</v>
      </c>
      <c r="H63" s="55" t="s">
        <v>768</v>
      </c>
      <c r="I63" s="207" t="s">
        <v>218</v>
      </c>
      <c r="J63" s="207" t="s">
        <v>218</v>
      </c>
      <c r="K63" s="55" t="s">
        <v>667</v>
      </c>
      <c r="L63" s="1" t="s">
        <v>685</v>
      </c>
    </row>
    <row r="64" spans="2:12" hidden="1" x14ac:dyDescent="0.25">
      <c r="C64" s="49" t="s">
        <v>573</v>
      </c>
      <c r="D64" s="49"/>
      <c r="E64" s="49"/>
      <c r="F64" s="55" t="s">
        <v>595</v>
      </c>
      <c r="G64" s="55" t="s">
        <v>625</v>
      </c>
      <c r="H64" s="55" t="s">
        <v>1387</v>
      </c>
      <c r="I64" s="207" t="s">
        <v>218</v>
      </c>
      <c r="J64" s="207" t="s">
        <v>218</v>
      </c>
      <c r="K64" s="55" t="s">
        <v>667</v>
      </c>
      <c r="L64" s="1" t="s">
        <v>685</v>
      </c>
    </row>
    <row r="65" spans="3:12" hidden="1" x14ac:dyDescent="0.25">
      <c r="C65" s="49" t="s">
        <v>573</v>
      </c>
      <c r="D65" s="49"/>
      <c r="E65" s="49"/>
      <c r="F65" s="55" t="s">
        <v>595</v>
      </c>
      <c r="G65" s="55" t="s">
        <v>629</v>
      </c>
      <c r="H65" s="55" t="s">
        <v>1388</v>
      </c>
      <c r="I65" s="207" t="s">
        <v>218</v>
      </c>
      <c r="J65" s="207" t="s">
        <v>218</v>
      </c>
      <c r="K65" s="55" t="s">
        <v>667</v>
      </c>
      <c r="L65" s="1" t="s">
        <v>685</v>
      </c>
    </row>
    <row r="66" spans="3:12" hidden="1" x14ac:dyDescent="0.25">
      <c r="C66" s="49" t="s">
        <v>573</v>
      </c>
      <c r="D66" s="49"/>
      <c r="E66" s="49"/>
      <c r="F66" s="55" t="s">
        <v>595</v>
      </c>
      <c r="G66" s="55" t="s">
        <v>628</v>
      </c>
      <c r="H66" s="55" t="s">
        <v>1365</v>
      </c>
      <c r="I66" s="55" t="s">
        <v>1366</v>
      </c>
      <c r="J66" s="207" t="s">
        <v>218</v>
      </c>
      <c r="K66" s="55" t="s">
        <v>667</v>
      </c>
      <c r="L66" s="1" t="s">
        <v>685</v>
      </c>
    </row>
    <row r="67" spans="3:12" hidden="1" x14ac:dyDescent="0.25">
      <c r="C67" s="49" t="s">
        <v>573</v>
      </c>
      <c r="D67" s="49"/>
      <c r="E67" s="49"/>
      <c r="F67" s="55" t="s">
        <v>595</v>
      </c>
      <c r="G67" s="55" t="s">
        <v>637</v>
      </c>
      <c r="H67" s="55" t="s">
        <v>1389</v>
      </c>
      <c r="I67" s="55" t="s">
        <v>545</v>
      </c>
      <c r="J67" s="207" t="s">
        <v>218</v>
      </c>
      <c r="K67" s="55" t="s">
        <v>667</v>
      </c>
      <c r="L67" s="1" t="s">
        <v>685</v>
      </c>
    </row>
    <row r="68" spans="3:12" hidden="1" x14ac:dyDescent="0.25">
      <c r="C68" s="49" t="s">
        <v>573</v>
      </c>
      <c r="D68" s="49"/>
      <c r="E68" s="49"/>
      <c r="F68" s="55" t="s">
        <v>595</v>
      </c>
      <c r="G68" s="55" t="s">
        <v>644</v>
      </c>
      <c r="H68" s="55" t="s">
        <v>1367</v>
      </c>
      <c r="I68" s="207" t="s">
        <v>218</v>
      </c>
      <c r="J68" s="207" t="s">
        <v>218</v>
      </c>
      <c r="K68" s="55" t="s">
        <v>667</v>
      </c>
      <c r="L68" s="1" t="s">
        <v>685</v>
      </c>
    </row>
    <row r="69" spans="3:12" hidden="1" x14ac:dyDescent="0.25">
      <c r="C69" s="49" t="s">
        <v>573</v>
      </c>
      <c r="D69" s="49"/>
      <c r="E69" s="49"/>
      <c r="F69" s="55" t="s">
        <v>595</v>
      </c>
      <c r="G69" s="55" t="s">
        <v>650</v>
      </c>
      <c r="H69" s="55" t="s">
        <v>979</v>
      </c>
      <c r="I69" s="207" t="s">
        <v>218</v>
      </c>
      <c r="J69" s="207" t="s">
        <v>218</v>
      </c>
      <c r="K69" s="55" t="s">
        <v>667</v>
      </c>
      <c r="L69" s="1" t="s">
        <v>685</v>
      </c>
    </row>
    <row r="70" spans="3:12" hidden="1" x14ac:dyDescent="0.25">
      <c r="C70" s="49" t="s">
        <v>573</v>
      </c>
      <c r="D70" s="49"/>
      <c r="E70" s="49"/>
      <c r="F70" s="55" t="s">
        <v>595</v>
      </c>
      <c r="G70" s="55" t="s">
        <v>643</v>
      </c>
      <c r="H70" s="55" t="s">
        <v>798</v>
      </c>
      <c r="I70" s="207" t="s">
        <v>218</v>
      </c>
      <c r="J70" s="207" t="s">
        <v>218</v>
      </c>
      <c r="K70" s="55" t="s">
        <v>667</v>
      </c>
      <c r="L70" s="1" t="s">
        <v>685</v>
      </c>
    </row>
    <row r="71" spans="3:12" hidden="1" x14ac:dyDescent="0.25">
      <c r="C71" s="49" t="s">
        <v>573</v>
      </c>
      <c r="D71" s="49"/>
      <c r="E71" s="49"/>
      <c r="F71" s="55" t="s">
        <v>595</v>
      </c>
      <c r="G71" s="55" t="s">
        <v>627</v>
      </c>
      <c r="H71" s="55" t="s">
        <v>1390</v>
      </c>
      <c r="I71" s="207" t="s">
        <v>218</v>
      </c>
      <c r="J71" s="207" t="s">
        <v>218</v>
      </c>
      <c r="K71" s="55" t="s">
        <v>667</v>
      </c>
      <c r="L71" s="1" t="s">
        <v>685</v>
      </c>
    </row>
    <row r="72" spans="3:12" hidden="1" x14ac:dyDescent="0.25">
      <c r="C72" s="49" t="s">
        <v>573</v>
      </c>
      <c r="D72" s="49"/>
      <c r="E72" s="49"/>
      <c r="F72" s="55" t="s">
        <v>595</v>
      </c>
      <c r="G72" s="55" t="s">
        <v>640</v>
      </c>
      <c r="H72" s="55" t="s">
        <v>994</v>
      </c>
      <c r="I72" s="207" t="s">
        <v>218</v>
      </c>
      <c r="J72" s="207" t="s">
        <v>218</v>
      </c>
      <c r="K72" s="55" t="s">
        <v>667</v>
      </c>
      <c r="L72" s="1" t="s">
        <v>685</v>
      </c>
    </row>
    <row r="73" spans="3:12" hidden="1" x14ac:dyDescent="0.25">
      <c r="C73" s="49" t="s">
        <v>573</v>
      </c>
      <c r="D73" s="49"/>
      <c r="E73" s="49"/>
      <c r="F73" s="55" t="s">
        <v>595</v>
      </c>
      <c r="G73" s="55" t="s">
        <v>647</v>
      </c>
      <c r="H73" s="55" t="s">
        <v>1386</v>
      </c>
      <c r="I73" s="207" t="s">
        <v>218</v>
      </c>
      <c r="J73" s="207" t="s">
        <v>218</v>
      </c>
      <c r="K73" s="55" t="s">
        <v>667</v>
      </c>
      <c r="L73" s="1" t="s">
        <v>685</v>
      </c>
    </row>
    <row r="74" spans="3:12" hidden="1" x14ac:dyDescent="0.25">
      <c r="C74" s="1" t="s">
        <v>573</v>
      </c>
      <c r="F74" t="s">
        <v>595</v>
      </c>
      <c r="G74" t="s">
        <v>624</v>
      </c>
      <c r="H74" s="34" t="s">
        <v>218</v>
      </c>
      <c r="I74" s="34" t="s">
        <v>218</v>
      </c>
      <c r="J74" s="34" t="s">
        <v>218</v>
      </c>
      <c r="K74" s="34" t="s">
        <v>218</v>
      </c>
      <c r="L74" s="1" t="s">
        <v>685</v>
      </c>
    </row>
    <row r="75" spans="3:12" hidden="1" x14ac:dyDescent="0.25">
      <c r="C75" s="1" t="s">
        <v>573</v>
      </c>
      <c r="F75" t="s">
        <v>595</v>
      </c>
      <c r="G75" t="s">
        <v>621</v>
      </c>
      <c r="H75" s="34" t="s">
        <v>218</v>
      </c>
      <c r="I75" s="34" t="s">
        <v>218</v>
      </c>
      <c r="J75" s="34" t="s">
        <v>218</v>
      </c>
      <c r="K75" s="34" t="s">
        <v>218</v>
      </c>
      <c r="L75" s="1" t="s">
        <v>685</v>
      </c>
    </row>
    <row r="76" spans="3:12" hidden="1" x14ac:dyDescent="0.25">
      <c r="C76" s="1" t="s">
        <v>573</v>
      </c>
      <c r="F76" t="s">
        <v>595</v>
      </c>
      <c r="G76" t="s">
        <v>626</v>
      </c>
      <c r="H76" s="34" t="s">
        <v>218</v>
      </c>
      <c r="I76" s="34" t="s">
        <v>218</v>
      </c>
      <c r="J76" s="34" t="s">
        <v>218</v>
      </c>
      <c r="K76" s="34" t="s">
        <v>218</v>
      </c>
      <c r="L76" s="1" t="s">
        <v>685</v>
      </c>
    </row>
    <row r="77" spans="3:12" hidden="1" x14ac:dyDescent="0.25">
      <c r="C77" s="1" t="s">
        <v>573</v>
      </c>
      <c r="F77" t="s">
        <v>595</v>
      </c>
      <c r="G77" t="s">
        <v>630</v>
      </c>
      <c r="H77" s="34" t="s">
        <v>218</v>
      </c>
      <c r="I77" s="34" t="s">
        <v>218</v>
      </c>
      <c r="J77" s="34" t="s">
        <v>218</v>
      </c>
      <c r="K77" s="34" t="s">
        <v>218</v>
      </c>
      <c r="L77" s="1" t="s">
        <v>685</v>
      </c>
    </row>
    <row r="78" spans="3:12" hidden="1" x14ac:dyDescent="0.25">
      <c r="C78" s="1" t="s">
        <v>573</v>
      </c>
      <c r="F78" t="s">
        <v>595</v>
      </c>
      <c r="G78" t="s">
        <v>631</v>
      </c>
      <c r="H78" s="34" t="s">
        <v>218</v>
      </c>
      <c r="I78" s="34" t="s">
        <v>218</v>
      </c>
      <c r="J78" s="34" t="s">
        <v>218</v>
      </c>
      <c r="K78" s="34" t="s">
        <v>218</v>
      </c>
      <c r="L78" s="1" t="s">
        <v>685</v>
      </c>
    </row>
    <row r="79" spans="3:12" hidden="1" x14ac:dyDescent="0.25">
      <c r="C79" s="1" t="s">
        <v>573</v>
      </c>
      <c r="F79" t="s">
        <v>595</v>
      </c>
      <c r="G79" t="s">
        <v>632</v>
      </c>
      <c r="H79" s="34" t="s">
        <v>218</v>
      </c>
      <c r="I79" s="34" t="s">
        <v>218</v>
      </c>
      <c r="J79" s="34" t="s">
        <v>218</v>
      </c>
      <c r="K79" s="34" t="s">
        <v>218</v>
      </c>
      <c r="L79" s="1" t="s">
        <v>685</v>
      </c>
    </row>
    <row r="80" spans="3:12" hidden="1" x14ac:dyDescent="0.25">
      <c r="C80" s="1" t="s">
        <v>573</v>
      </c>
      <c r="F80" t="s">
        <v>595</v>
      </c>
      <c r="G80" t="s">
        <v>633</v>
      </c>
      <c r="H80" s="34" t="s">
        <v>218</v>
      </c>
      <c r="I80" s="34" t="s">
        <v>218</v>
      </c>
      <c r="J80" s="34" t="s">
        <v>218</v>
      </c>
      <c r="K80" s="34" t="s">
        <v>218</v>
      </c>
      <c r="L80" s="1" t="s">
        <v>685</v>
      </c>
    </row>
    <row r="81" spans="3:12" hidden="1" x14ac:dyDescent="0.25">
      <c r="C81" s="1" t="s">
        <v>573</v>
      </c>
      <c r="F81" t="s">
        <v>595</v>
      </c>
      <c r="G81" t="s">
        <v>635</v>
      </c>
      <c r="H81" s="34" t="s">
        <v>218</v>
      </c>
      <c r="I81" s="34" t="s">
        <v>218</v>
      </c>
      <c r="J81" s="34" t="s">
        <v>218</v>
      </c>
      <c r="K81" s="34" t="s">
        <v>218</v>
      </c>
      <c r="L81" s="1" t="s">
        <v>685</v>
      </c>
    </row>
    <row r="82" spans="3:12" hidden="1" x14ac:dyDescent="0.25">
      <c r="C82" s="1" t="s">
        <v>573</v>
      </c>
      <c r="F82" t="s">
        <v>595</v>
      </c>
      <c r="G82" t="s">
        <v>636</v>
      </c>
      <c r="H82" s="34" t="s">
        <v>218</v>
      </c>
      <c r="I82" s="34" t="s">
        <v>218</v>
      </c>
      <c r="J82" s="34" t="s">
        <v>218</v>
      </c>
      <c r="K82" s="34" t="s">
        <v>218</v>
      </c>
      <c r="L82" s="1" t="s">
        <v>685</v>
      </c>
    </row>
    <row r="83" spans="3:12" hidden="1" x14ac:dyDescent="0.25">
      <c r="C83" s="1" t="s">
        <v>573</v>
      </c>
      <c r="F83" t="s">
        <v>595</v>
      </c>
      <c r="G83" t="s">
        <v>638</v>
      </c>
      <c r="H83" s="34" t="s">
        <v>218</v>
      </c>
      <c r="I83" s="34" t="s">
        <v>218</v>
      </c>
      <c r="J83" s="34" t="s">
        <v>218</v>
      </c>
      <c r="K83" s="34" t="s">
        <v>218</v>
      </c>
      <c r="L83" s="1" t="s">
        <v>685</v>
      </c>
    </row>
    <row r="84" spans="3:12" hidden="1" x14ac:dyDescent="0.25">
      <c r="C84" s="1" t="s">
        <v>573</v>
      </c>
      <c r="F84" t="s">
        <v>595</v>
      </c>
      <c r="G84" t="s">
        <v>639</v>
      </c>
      <c r="H84" s="34" t="s">
        <v>218</v>
      </c>
      <c r="I84" s="34" t="s">
        <v>218</v>
      </c>
      <c r="J84" s="34" t="s">
        <v>218</v>
      </c>
      <c r="K84" s="34" t="s">
        <v>218</v>
      </c>
      <c r="L84" s="1" t="s">
        <v>685</v>
      </c>
    </row>
    <row r="85" spans="3:12" hidden="1" x14ac:dyDescent="0.25">
      <c r="C85" s="1" t="s">
        <v>573</v>
      </c>
      <c r="F85" t="s">
        <v>595</v>
      </c>
      <c r="G85" t="s">
        <v>641</v>
      </c>
      <c r="H85" s="34" t="s">
        <v>218</v>
      </c>
      <c r="I85" s="34" t="s">
        <v>218</v>
      </c>
      <c r="J85" s="34" t="s">
        <v>218</v>
      </c>
      <c r="K85" s="34" t="s">
        <v>218</v>
      </c>
      <c r="L85" s="1" t="s">
        <v>685</v>
      </c>
    </row>
    <row r="86" spans="3:12" hidden="1" x14ac:dyDescent="0.25">
      <c r="C86" s="1" t="s">
        <v>573</v>
      </c>
      <c r="F86" t="s">
        <v>595</v>
      </c>
      <c r="G86" t="s">
        <v>642</v>
      </c>
      <c r="H86" s="34" t="s">
        <v>218</v>
      </c>
      <c r="I86" s="34" t="s">
        <v>218</v>
      </c>
      <c r="J86" s="34" t="s">
        <v>218</v>
      </c>
      <c r="K86" s="34" t="s">
        <v>218</v>
      </c>
      <c r="L86" s="1" t="s">
        <v>685</v>
      </c>
    </row>
    <row r="87" spans="3:12" hidden="1" x14ac:dyDescent="0.25">
      <c r="C87" s="1" t="s">
        <v>573</v>
      </c>
      <c r="F87" t="s">
        <v>595</v>
      </c>
      <c r="G87" t="s">
        <v>645</v>
      </c>
      <c r="H87" s="34" t="s">
        <v>218</v>
      </c>
      <c r="I87" s="34" t="s">
        <v>218</v>
      </c>
      <c r="J87" s="34" t="s">
        <v>218</v>
      </c>
      <c r="K87" s="34" t="s">
        <v>218</v>
      </c>
      <c r="L87" s="1" t="s">
        <v>685</v>
      </c>
    </row>
    <row r="88" spans="3:12" hidden="1" x14ac:dyDescent="0.25">
      <c r="C88" s="1" t="s">
        <v>573</v>
      </c>
      <c r="F88" t="s">
        <v>595</v>
      </c>
      <c r="G88" t="s">
        <v>646</v>
      </c>
      <c r="H88" s="34" t="s">
        <v>218</v>
      </c>
      <c r="I88" s="34" t="s">
        <v>218</v>
      </c>
      <c r="J88" s="34" t="s">
        <v>218</v>
      </c>
      <c r="K88" s="34" t="s">
        <v>218</v>
      </c>
      <c r="L88" s="1" t="s">
        <v>685</v>
      </c>
    </row>
    <row r="89" spans="3:12" hidden="1" x14ac:dyDescent="0.25">
      <c r="C89" s="1" t="s">
        <v>573</v>
      </c>
      <c r="F89" t="s">
        <v>595</v>
      </c>
      <c r="G89" t="s">
        <v>648</v>
      </c>
      <c r="H89" s="34" t="s">
        <v>218</v>
      </c>
      <c r="I89" s="34" t="s">
        <v>218</v>
      </c>
      <c r="J89" s="34" t="s">
        <v>218</v>
      </c>
      <c r="K89" s="34" t="s">
        <v>218</v>
      </c>
      <c r="L89" s="1" t="s">
        <v>685</v>
      </c>
    </row>
    <row r="90" spans="3:12" hidden="1" x14ac:dyDescent="0.25">
      <c r="C90" s="57" t="s">
        <v>573</v>
      </c>
      <c r="D90" s="57"/>
      <c r="E90" s="57"/>
      <c r="F90" s="58" t="s">
        <v>595</v>
      </c>
      <c r="G90" s="58" t="s">
        <v>649</v>
      </c>
      <c r="H90" s="208" t="s">
        <v>218</v>
      </c>
      <c r="I90" s="208" t="s">
        <v>218</v>
      </c>
      <c r="J90" s="208" t="s">
        <v>218</v>
      </c>
      <c r="K90" s="208" t="s">
        <v>218</v>
      </c>
      <c r="L90" s="57" t="s">
        <v>685</v>
      </c>
    </row>
    <row r="91" spans="3:12" hidden="1" x14ac:dyDescent="0.25">
      <c r="C91" s="1" t="s">
        <v>573</v>
      </c>
      <c r="F91" t="s">
        <v>596</v>
      </c>
      <c r="G91" t="s">
        <v>664</v>
      </c>
      <c r="H91" s="34" t="s">
        <v>218</v>
      </c>
      <c r="I91" s="34" t="s">
        <v>218</v>
      </c>
      <c r="J91" s="34" t="s">
        <v>218</v>
      </c>
      <c r="K91" s="34" t="s">
        <v>218</v>
      </c>
      <c r="L91" s="1" t="s">
        <v>685</v>
      </c>
    </row>
    <row r="92" spans="3:12" hidden="1" x14ac:dyDescent="0.25">
      <c r="C92" s="1" t="s">
        <v>573</v>
      </c>
      <c r="F92" t="s">
        <v>596</v>
      </c>
      <c r="G92" t="s">
        <v>660</v>
      </c>
      <c r="H92" s="34" t="s">
        <v>218</v>
      </c>
      <c r="I92" s="34" t="s">
        <v>218</v>
      </c>
      <c r="J92" s="34" t="s">
        <v>218</v>
      </c>
      <c r="K92" s="34" t="s">
        <v>218</v>
      </c>
      <c r="L92" s="1" t="s">
        <v>685</v>
      </c>
    </row>
    <row r="93" spans="3:12" hidden="1" x14ac:dyDescent="0.25">
      <c r="C93" s="1" t="s">
        <v>573</v>
      </c>
      <c r="F93" t="s">
        <v>596</v>
      </c>
      <c r="G93" t="s">
        <v>656</v>
      </c>
      <c r="H93" s="34" t="s">
        <v>218</v>
      </c>
      <c r="I93" s="34" t="s">
        <v>218</v>
      </c>
      <c r="J93" s="34" t="s">
        <v>218</v>
      </c>
      <c r="K93" s="34" t="s">
        <v>218</v>
      </c>
      <c r="L93" s="1" t="s">
        <v>685</v>
      </c>
    </row>
    <row r="94" spans="3:12" hidden="1" x14ac:dyDescent="0.25">
      <c r="C94" s="1" t="s">
        <v>573</v>
      </c>
      <c r="F94" t="s">
        <v>596</v>
      </c>
      <c r="G94" t="s">
        <v>651</v>
      </c>
      <c r="H94" s="34" t="s">
        <v>218</v>
      </c>
      <c r="I94" s="34" t="s">
        <v>218</v>
      </c>
      <c r="J94" s="34" t="s">
        <v>218</v>
      </c>
      <c r="K94" s="34" t="s">
        <v>218</v>
      </c>
      <c r="L94" s="1" t="s">
        <v>685</v>
      </c>
    </row>
    <row r="95" spans="3:12" hidden="1" x14ac:dyDescent="0.25">
      <c r="C95" s="1" t="s">
        <v>573</v>
      </c>
      <c r="F95" t="s">
        <v>596</v>
      </c>
      <c r="G95" t="s">
        <v>652</v>
      </c>
      <c r="H95" s="34" t="s">
        <v>218</v>
      </c>
      <c r="I95" s="34" t="s">
        <v>218</v>
      </c>
      <c r="J95" s="34" t="s">
        <v>218</v>
      </c>
      <c r="K95" s="34" t="s">
        <v>218</v>
      </c>
      <c r="L95" s="1" t="s">
        <v>685</v>
      </c>
    </row>
    <row r="96" spans="3:12" hidden="1" x14ac:dyDescent="0.25">
      <c r="C96" s="1" t="s">
        <v>573</v>
      </c>
      <c r="F96" t="s">
        <v>596</v>
      </c>
      <c r="G96" t="s">
        <v>653</v>
      </c>
      <c r="H96" s="34" t="s">
        <v>218</v>
      </c>
      <c r="I96" s="34" t="s">
        <v>218</v>
      </c>
      <c r="J96" s="34" t="s">
        <v>218</v>
      </c>
      <c r="K96" s="34" t="s">
        <v>218</v>
      </c>
      <c r="L96" s="1" t="s">
        <v>685</v>
      </c>
    </row>
    <row r="97" spans="3:12" hidden="1" x14ac:dyDescent="0.25">
      <c r="C97" s="1" t="s">
        <v>573</v>
      </c>
      <c r="F97" t="s">
        <v>596</v>
      </c>
      <c r="G97" t="s">
        <v>654</v>
      </c>
      <c r="H97" s="34" t="s">
        <v>218</v>
      </c>
      <c r="I97" s="34" t="s">
        <v>218</v>
      </c>
      <c r="J97" s="34" t="s">
        <v>218</v>
      </c>
      <c r="K97" s="34" t="s">
        <v>218</v>
      </c>
      <c r="L97" s="1" t="s">
        <v>685</v>
      </c>
    </row>
    <row r="98" spans="3:12" hidden="1" x14ac:dyDescent="0.25">
      <c r="C98" s="1" t="s">
        <v>573</v>
      </c>
      <c r="F98" t="s">
        <v>596</v>
      </c>
      <c r="G98" t="s">
        <v>655</v>
      </c>
      <c r="H98" s="34" t="s">
        <v>218</v>
      </c>
      <c r="I98" s="34" t="s">
        <v>218</v>
      </c>
      <c r="J98" s="34" t="s">
        <v>218</v>
      </c>
      <c r="K98" s="34" t="s">
        <v>218</v>
      </c>
      <c r="L98" s="1" t="s">
        <v>685</v>
      </c>
    </row>
    <row r="99" spans="3:12" hidden="1" x14ac:dyDescent="0.25">
      <c r="C99" s="1" t="s">
        <v>573</v>
      </c>
      <c r="F99" t="s">
        <v>596</v>
      </c>
      <c r="G99" t="s">
        <v>657</v>
      </c>
      <c r="H99" s="34" t="s">
        <v>218</v>
      </c>
      <c r="I99" s="34" t="s">
        <v>218</v>
      </c>
      <c r="J99" s="34" t="s">
        <v>218</v>
      </c>
      <c r="K99" s="34" t="s">
        <v>218</v>
      </c>
      <c r="L99" s="1" t="s">
        <v>685</v>
      </c>
    </row>
    <row r="100" spans="3:12" hidden="1" x14ac:dyDescent="0.25">
      <c r="C100" s="1" t="s">
        <v>573</v>
      </c>
      <c r="F100" t="s">
        <v>596</v>
      </c>
      <c r="G100" t="s">
        <v>658</v>
      </c>
      <c r="H100" s="34" t="s">
        <v>218</v>
      </c>
      <c r="I100" s="34" t="s">
        <v>218</v>
      </c>
      <c r="J100" s="34" t="s">
        <v>218</v>
      </c>
      <c r="K100" s="34" t="s">
        <v>218</v>
      </c>
      <c r="L100" s="1" t="s">
        <v>685</v>
      </c>
    </row>
    <row r="101" spans="3:12" hidden="1" x14ac:dyDescent="0.25">
      <c r="C101" s="1" t="s">
        <v>573</v>
      </c>
      <c r="F101" t="s">
        <v>596</v>
      </c>
      <c r="G101" t="s">
        <v>659</v>
      </c>
      <c r="H101" s="34" t="s">
        <v>218</v>
      </c>
      <c r="I101" s="34" t="s">
        <v>218</v>
      </c>
      <c r="J101" s="34" t="s">
        <v>218</v>
      </c>
      <c r="K101" s="34" t="s">
        <v>218</v>
      </c>
      <c r="L101" s="1" t="s">
        <v>685</v>
      </c>
    </row>
    <row r="102" spans="3:12" hidden="1" x14ac:dyDescent="0.25">
      <c r="C102" s="1" t="s">
        <v>573</v>
      </c>
      <c r="F102" t="s">
        <v>596</v>
      </c>
      <c r="G102" t="s">
        <v>661</v>
      </c>
      <c r="H102" s="34" t="s">
        <v>218</v>
      </c>
      <c r="I102" s="34" t="s">
        <v>218</v>
      </c>
      <c r="J102" s="34" t="s">
        <v>218</v>
      </c>
      <c r="K102" s="34" t="s">
        <v>218</v>
      </c>
      <c r="L102" s="1" t="s">
        <v>685</v>
      </c>
    </row>
    <row r="103" spans="3:12" hidden="1" x14ac:dyDescent="0.25">
      <c r="C103" s="1" t="s">
        <v>573</v>
      </c>
      <c r="F103" t="s">
        <v>596</v>
      </c>
      <c r="G103" t="s">
        <v>662</v>
      </c>
      <c r="H103" s="34" t="s">
        <v>218</v>
      </c>
      <c r="I103" s="34" t="s">
        <v>218</v>
      </c>
      <c r="J103" s="34" t="s">
        <v>218</v>
      </c>
      <c r="K103" s="34" t="s">
        <v>218</v>
      </c>
      <c r="L103" s="1" t="s">
        <v>685</v>
      </c>
    </row>
    <row r="104" spans="3:12" hidden="1" x14ac:dyDescent="0.25">
      <c r="C104" s="1" t="s">
        <v>573</v>
      </c>
      <c r="F104" t="s">
        <v>596</v>
      </c>
      <c r="G104" t="s">
        <v>663</v>
      </c>
      <c r="H104" s="34" t="s">
        <v>218</v>
      </c>
      <c r="I104" s="34" t="s">
        <v>218</v>
      </c>
      <c r="J104" s="34" t="s">
        <v>218</v>
      </c>
      <c r="K104" s="34" t="s">
        <v>218</v>
      </c>
      <c r="L104" s="1" t="s">
        <v>685</v>
      </c>
    </row>
    <row r="105" spans="3:12" hidden="1" x14ac:dyDescent="0.25">
      <c r="C105" s="1" t="s">
        <v>573</v>
      </c>
      <c r="F105" t="s">
        <v>596</v>
      </c>
      <c r="G105" t="s">
        <v>665</v>
      </c>
      <c r="H105" s="34" t="s">
        <v>218</v>
      </c>
      <c r="I105" s="34" t="s">
        <v>218</v>
      </c>
      <c r="J105" s="34" t="s">
        <v>218</v>
      </c>
      <c r="K105" s="34" t="s">
        <v>218</v>
      </c>
      <c r="L105" s="1" t="s">
        <v>685</v>
      </c>
    </row>
    <row r="106" spans="3:12" hidden="1" x14ac:dyDescent="0.25">
      <c r="C106" s="57" t="s">
        <v>573</v>
      </c>
      <c r="D106" s="57"/>
      <c r="E106" s="57"/>
      <c r="F106" s="58" t="s">
        <v>596</v>
      </c>
      <c r="G106" s="58" t="s">
        <v>666</v>
      </c>
      <c r="H106" s="208" t="s">
        <v>218</v>
      </c>
      <c r="I106" s="208" t="s">
        <v>218</v>
      </c>
      <c r="J106" s="208" t="s">
        <v>218</v>
      </c>
      <c r="K106" s="208" t="s">
        <v>218</v>
      </c>
      <c r="L106" s="57" t="s">
        <v>685</v>
      </c>
    </row>
  </sheetData>
  <autoFilter ref="C11:L106" xr:uid="{00000000-0009-0000-0000-00000A000000}">
    <filterColumn colId="7">
      <filters>
        <filter val="RECEBIMENTO"/>
      </filters>
    </filterColumn>
  </autoFilter>
  <mergeCells count="1">
    <mergeCell ref="A1:B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F119"/>
  <sheetViews>
    <sheetView zoomScale="80" zoomScaleNormal="80" workbookViewId="0">
      <pane ySplit="2" topLeftCell="A3" activePane="bottomLeft" state="frozen"/>
      <selection pane="bottomLeft" activeCell="E52" sqref="E52"/>
    </sheetView>
  </sheetViews>
  <sheetFormatPr defaultRowHeight="15" x14ac:dyDescent="0.25"/>
  <cols>
    <col min="1" max="1" width="33.85546875" bestFit="1" customWidth="1"/>
    <col min="2" max="2" width="42.140625" bestFit="1" customWidth="1"/>
    <col min="3" max="3" width="20.42578125" customWidth="1"/>
    <col min="4" max="4" width="16.7109375" bestFit="1" customWidth="1"/>
    <col min="5" max="5" width="23.28515625" customWidth="1"/>
    <col min="6" max="6" width="42.85546875" bestFit="1" customWidth="1"/>
  </cols>
  <sheetData>
    <row r="1" spans="1:6" x14ac:dyDescent="0.25">
      <c r="A1" s="451" t="s">
        <v>370</v>
      </c>
      <c r="B1" s="451"/>
      <c r="C1" s="451"/>
      <c r="D1" s="451"/>
      <c r="E1" s="451"/>
      <c r="F1" s="451"/>
    </row>
    <row r="2" spans="1:6" x14ac:dyDescent="0.25">
      <c r="A2" s="16" t="s">
        <v>4</v>
      </c>
      <c r="B2" s="16" t="s">
        <v>565</v>
      </c>
      <c r="C2" s="16" t="s">
        <v>1667</v>
      </c>
      <c r="D2" s="16" t="s">
        <v>233</v>
      </c>
      <c r="E2" s="16" t="s">
        <v>352</v>
      </c>
      <c r="F2" s="16" t="s">
        <v>366</v>
      </c>
    </row>
    <row r="3" spans="1:6" x14ac:dyDescent="0.25">
      <c r="A3" s="1" t="s">
        <v>487</v>
      </c>
      <c r="B3" s="1" t="s">
        <v>331</v>
      </c>
      <c r="C3" s="1" t="s">
        <v>1668</v>
      </c>
      <c r="D3" s="372" t="s">
        <v>275</v>
      </c>
      <c r="E3" s="22" t="s">
        <v>700</v>
      </c>
      <c r="F3" s="1" t="s">
        <v>1657</v>
      </c>
    </row>
    <row r="4" spans="1:6" x14ac:dyDescent="0.25">
      <c r="A4" s="1" t="s">
        <v>1665</v>
      </c>
      <c r="B4" s="372" t="s">
        <v>1666</v>
      </c>
      <c r="C4" s="1" t="s">
        <v>1670</v>
      </c>
      <c r="D4" s="1"/>
      <c r="E4" s="22" t="s">
        <v>700</v>
      </c>
      <c r="F4" s="1"/>
    </row>
    <row r="5" spans="1:6" x14ac:dyDescent="0.25">
      <c r="A5" s="1" t="s">
        <v>1654</v>
      </c>
      <c r="B5" s="389" t="s">
        <v>1655</v>
      </c>
      <c r="C5" s="1" t="s">
        <v>1669</v>
      </c>
      <c r="D5" s="1"/>
      <c r="E5" s="22" t="s">
        <v>353</v>
      </c>
      <c r="F5" s="1"/>
    </row>
    <row r="6" spans="1:6" x14ac:dyDescent="0.25">
      <c r="A6" s="1" t="s">
        <v>484</v>
      </c>
      <c r="B6" s="1" t="s">
        <v>344</v>
      </c>
      <c r="C6" s="1" t="s">
        <v>1670</v>
      </c>
      <c r="D6" s="19" t="s">
        <v>279</v>
      </c>
      <c r="E6" s="22" t="s">
        <v>353</v>
      </c>
      <c r="F6" s="1"/>
    </row>
    <row r="7" spans="1:6" x14ac:dyDescent="0.25">
      <c r="A7" s="1" t="s">
        <v>695</v>
      </c>
      <c r="B7" s="1" t="s">
        <v>693</v>
      </c>
      <c r="C7" s="1" t="s">
        <v>1670</v>
      </c>
      <c r="D7" s="21"/>
      <c r="E7" s="22" t="s">
        <v>353</v>
      </c>
      <c r="F7" s="1"/>
    </row>
    <row r="8" spans="1:6" x14ac:dyDescent="0.25">
      <c r="A8" s="1" t="s">
        <v>483</v>
      </c>
      <c r="B8" s="1" t="s">
        <v>305</v>
      </c>
      <c r="C8" s="1" t="s">
        <v>1668</v>
      </c>
      <c r="D8" s="23" t="s">
        <v>279</v>
      </c>
      <c r="E8" s="22" t="s">
        <v>353</v>
      </c>
      <c r="F8" s="1"/>
    </row>
    <row r="9" spans="1:6" x14ac:dyDescent="0.25">
      <c r="A9" s="1" t="s">
        <v>482</v>
      </c>
      <c r="B9" s="1" t="s">
        <v>278</v>
      </c>
      <c r="C9" s="1" t="s">
        <v>1668</v>
      </c>
      <c r="D9" s="21" t="s">
        <v>279</v>
      </c>
      <c r="E9" s="22" t="s">
        <v>353</v>
      </c>
      <c r="F9" s="1"/>
    </row>
    <row r="10" spans="1:6" x14ac:dyDescent="0.25">
      <c r="A10" s="1" t="s">
        <v>481</v>
      </c>
      <c r="B10" s="1" t="s">
        <v>362</v>
      </c>
      <c r="C10" s="1" t="s">
        <v>1670</v>
      </c>
      <c r="D10" s="19" t="s">
        <v>279</v>
      </c>
      <c r="E10" s="22" t="s">
        <v>353</v>
      </c>
      <c r="F10" s="1"/>
    </row>
    <row r="11" spans="1:6" x14ac:dyDescent="0.25">
      <c r="A11" s="1" t="s">
        <v>505</v>
      </c>
      <c r="B11" s="1" t="s">
        <v>317</v>
      </c>
      <c r="C11" s="1" t="s">
        <v>1668</v>
      </c>
      <c r="D11" s="21" t="s">
        <v>279</v>
      </c>
      <c r="E11" s="24" t="s">
        <v>353</v>
      </c>
      <c r="F11" s="1"/>
    </row>
    <row r="12" spans="1:6" x14ac:dyDescent="0.25">
      <c r="A12" s="1" t="s">
        <v>1650</v>
      </c>
      <c r="B12" s="372" t="s">
        <v>1651</v>
      </c>
      <c r="C12" s="1" t="s">
        <v>1669</v>
      </c>
      <c r="D12" s="21"/>
      <c r="E12" s="24" t="s">
        <v>353</v>
      </c>
      <c r="F12" s="1"/>
    </row>
    <row r="13" spans="1:6" x14ac:dyDescent="0.25">
      <c r="A13" s="1" t="s">
        <v>566</v>
      </c>
      <c r="B13" s="1" t="s">
        <v>553</v>
      </c>
      <c r="C13" s="1" t="s">
        <v>1668</v>
      </c>
      <c r="D13" s="19"/>
      <c r="E13" s="29" t="s">
        <v>353</v>
      </c>
      <c r="F13" s="1"/>
    </row>
    <row r="14" spans="1:6" x14ac:dyDescent="0.25">
      <c r="A14" s="1" t="s">
        <v>475</v>
      </c>
      <c r="B14" s="1" t="s">
        <v>474</v>
      </c>
      <c r="C14" s="1" t="s">
        <v>1669</v>
      </c>
      <c r="D14" s="1" t="s">
        <v>283</v>
      </c>
      <c r="E14" s="22" t="s">
        <v>353</v>
      </c>
      <c r="F14" s="1"/>
    </row>
    <row r="15" spans="1:6" x14ac:dyDescent="0.25">
      <c r="A15" s="14" t="s">
        <v>473</v>
      </c>
      <c r="B15" s="14" t="s">
        <v>358</v>
      </c>
      <c r="C15" s="14" t="s">
        <v>1668</v>
      </c>
      <c r="D15" s="14" t="s">
        <v>562</v>
      </c>
      <c r="E15" s="415" t="s">
        <v>353</v>
      </c>
      <c r="F15" s="14"/>
    </row>
    <row r="16" spans="1:6" x14ac:dyDescent="0.25">
      <c r="A16" s="1" t="s">
        <v>1691</v>
      </c>
      <c r="B16" s="372" t="s">
        <v>1692</v>
      </c>
      <c r="C16" s="372" t="s">
        <v>1668</v>
      </c>
      <c r="D16" s="1"/>
      <c r="E16" s="22" t="s">
        <v>353</v>
      </c>
      <c r="F16" s="1"/>
    </row>
    <row r="17" spans="1:6" x14ac:dyDescent="0.25">
      <c r="A17" s="1" t="s">
        <v>462</v>
      </c>
      <c r="B17" s="1" t="s">
        <v>288</v>
      </c>
      <c r="C17" s="1" t="s">
        <v>1668</v>
      </c>
      <c r="D17" s="21" t="s">
        <v>283</v>
      </c>
      <c r="E17" s="22" t="s">
        <v>353</v>
      </c>
      <c r="F17" s="1"/>
    </row>
    <row r="18" spans="1:6" x14ac:dyDescent="0.25">
      <c r="A18" s="25" t="s">
        <v>529</v>
      </c>
      <c r="B18" s="1" t="s">
        <v>354</v>
      </c>
      <c r="C18" s="1" t="s">
        <v>1668</v>
      </c>
      <c r="D18" s="23" t="s">
        <v>279</v>
      </c>
      <c r="E18" s="26" t="s">
        <v>353</v>
      </c>
      <c r="F18" s="1"/>
    </row>
    <row r="19" spans="1:6" x14ac:dyDescent="0.25">
      <c r="A19" s="25" t="s">
        <v>1676</v>
      </c>
      <c r="B19" s="372" t="s">
        <v>1677</v>
      </c>
      <c r="C19" s="372" t="s">
        <v>1668</v>
      </c>
      <c r="D19" s="23"/>
      <c r="E19" s="26" t="s">
        <v>353</v>
      </c>
      <c r="F19" s="1"/>
    </row>
    <row r="20" spans="1:6" x14ac:dyDescent="0.25">
      <c r="A20" s="1" t="s">
        <v>461</v>
      </c>
      <c r="B20" s="1" t="s">
        <v>307</v>
      </c>
      <c r="C20" s="1" t="s">
        <v>1668</v>
      </c>
      <c r="D20" s="21" t="s">
        <v>279</v>
      </c>
      <c r="E20" s="22" t="s">
        <v>353</v>
      </c>
      <c r="F20" s="1"/>
    </row>
    <row r="21" spans="1:6" x14ac:dyDescent="0.25">
      <c r="A21" s="1" t="s">
        <v>451</v>
      </c>
      <c r="B21" s="1" t="s">
        <v>457</v>
      </c>
      <c r="C21" s="1" t="s">
        <v>1668</v>
      </c>
      <c r="D21" s="37" t="s">
        <v>527</v>
      </c>
      <c r="E21" s="22" t="s">
        <v>528</v>
      </c>
      <c r="F21" s="1"/>
    </row>
    <row r="22" spans="1:6" x14ac:dyDescent="0.25">
      <c r="A22" s="1" t="s">
        <v>456</v>
      </c>
      <c r="B22" s="1" t="s">
        <v>326</v>
      </c>
      <c r="C22" s="1" t="s">
        <v>1668</v>
      </c>
      <c r="D22" s="21" t="s">
        <v>279</v>
      </c>
      <c r="E22" s="22" t="s">
        <v>353</v>
      </c>
      <c r="F22" s="1"/>
    </row>
    <row r="23" spans="1:6" x14ac:dyDescent="0.25">
      <c r="A23" s="1" t="s">
        <v>452</v>
      </c>
      <c r="B23" s="1" t="s">
        <v>301</v>
      </c>
      <c r="C23" s="1" t="s">
        <v>1668</v>
      </c>
      <c r="D23" s="19" t="s">
        <v>286</v>
      </c>
      <c r="E23" s="22" t="s">
        <v>353</v>
      </c>
      <c r="F23" s="1"/>
    </row>
    <row r="24" spans="1:6" x14ac:dyDescent="0.25">
      <c r="A24" s="1" t="s">
        <v>449</v>
      </c>
      <c r="B24" s="1" t="s">
        <v>316</v>
      </c>
      <c r="C24" s="1" t="s">
        <v>1668</v>
      </c>
      <c r="D24" s="21" t="s">
        <v>286</v>
      </c>
      <c r="E24" s="22" t="s">
        <v>353</v>
      </c>
      <c r="F24" s="1"/>
    </row>
    <row r="25" spans="1:6" x14ac:dyDescent="0.25">
      <c r="A25" s="1" t="s">
        <v>448</v>
      </c>
      <c r="B25" s="1" t="s">
        <v>357</v>
      </c>
      <c r="C25" s="1" t="s">
        <v>1668</v>
      </c>
      <c r="D25" s="19" t="s">
        <v>279</v>
      </c>
      <c r="E25" s="22" t="s">
        <v>353</v>
      </c>
      <c r="F25" s="1"/>
    </row>
    <row r="26" spans="1:6" x14ac:dyDescent="0.25">
      <c r="A26" s="1" t="s">
        <v>445</v>
      </c>
      <c r="B26" s="1" t="s">
        <v>321</v>
      </c>
      <c r="C26" s="1" t="s">
        <v>1670</v>
      </c>
      <c r="D26" s="21" t="s">
        <v>279</v>
      </c>
      <c r="E26" s="22" t="s">
        <v>353</v>
      </c>
      <c r="F26" s="1"/>
    </row>
    <row r="27" spans="1:6" x14ac:dyDescent="0.25">
      <c r="A27" s="1" t="s">
        <v>442</v>
      </c>
      <c r="B27" s="1" t="s">
        <v>284</v>
      </c>
      <c r="C27" s="1" t="s">
        <v>1668</v>
      </c>
      <c r="D27" s="19" t="s">
        <v>277</v>
      </c>
      <c r="E27" s="22" t="s">
        <v>353</v>
      </c>
      <c r="F27" s="1"/>
    </row>
    <row r="28" spans="1:6" x14ac:dyDescent="0.25">
      <c r="A28" s="1" t="s">
        <v>441</v>
      </c>
      <c r="B28" s="1" t="s">
        <v>304</v>
      </c>
      <c r="C28" s="1" t="s">
        <v>1670</v>
      </c>
      <c r="D28" s="21" t="s">
        <v>283</v>
      </c>
      <c r="E28" s="22" t="s">
        <v>353</v>
      </c>
      <c r="F28" s="1"/>
    </row>
    <row r="29" spans="1:6" x14ac:dyDescent="0.25">
      <c r="A29" s="1" t="s">
        <v>439</v>
      </c>
      <c r="B29" s="1" t="s">
        <v>280</v>
      </c>
      <c r="C29" s="1" t="s">
        <v>1668</v>
      </c>
      <c r="D29" s="23" t="s">
        <v>279</v>
      </c>
      <c r="E29" s="22" t="s">
        <v>353</v>
      </c>
      <c r="F29" s="1"/>
    </row>
    <row r="30" spans="1:6" x14ac:dyDescent="0.25">
      <c r="A30" s="1" t="s">
        <v>504</v>
      </c>
      <c r="B30" s="372" t="s">
        <v>503</v>
      </c>
      <c r="C30" s="1" t="s">
        <v>1670</v>
      </c>
      <c r="D30" s="21" t="s">
        <v>279</v>
      </c>
      <c r="E30" s="22" t="s">
        <v>353</v>
      </c>
      <c r="F30" s="1"/>
    </row>
    <row r="31" spans="1:6" x14ac:dyDescent="0.25">
      <c r="A31" s="1" t="s">
        <v>1633</v>
      </c>
      <c r="B31" s="372" t="s">
        <v>1634</v>
      </c>
      <c r="C31" s="1" t="s">
        <v>1668</v>
      </c>
      <c r="D31" s="21" t="s">
        <v>279</v>
      </c>
      <c r="E31" s="22" t="s">
        <v>353</v>
      </c>
      <c r="F31" s="1"/>
    </row>
    <row r="32" spans="1:6" x14ac:dyDescent="0.25">
      <c r="A32" s="1" t="s">
        <v>436</v>
      </c>
      <c r="B32" s="1" t="s">
        <v>360</v>
      </c>
      <c r="C32" s="1" t="s">
        <v>1669</v>
      </c>
      <c r="D32" s="1" t="s">
        <v>279</v>
      </c>
      <c r="E32" s="22" t="s">
        <v>353</v>
      </c>
      <c r="F32" s="1"/>
    </row>
    <row r="33" spans="1:6" x14ac:dyDescent="0.25">
      <c r="A33" s="1" t="s">
        <v>433</v>
      </c>
      <c r="B33" s="1" t="s">
        <v>292</v>
      </c>
      <c r="C33" s="1" t="s">
        <v>1668</v>
      </c>
      <c r="D33" s="21" t="s">
        <v>279</v>
      </c>
      <c r="E33" s="22" t="s">
        <v>353</v>
      </c>
      <c r="F33" s="1"/>
    </row>
    <row r="34" spans="1:6" x14ac:dyDescent="0.25">
      <c r="A34" s="1" t="s">
        <v>432</v>
      </c>
      <c r="B34" s="1" t="s">
        <v>363</v>
      </c>
      <c r="C34" s="1" t="s">
        <v>1668</v>
      </c>
      <c r="D34" s="23" t="s">
        <v>279</v>
      </c>
      <c r="E34" s="22" t="s">
        <v>353</v>
      </c>
      <c r="F34" s="1"/>
    </row>
    <row r="35" spans="1:6" x14ac:dyDescent="0.25">
      <c r="A35" s="1" t="s">
        <v>427</v>
      </c>
      <c r="B35" s="1" t="s">
        <v>359</v>
      </c>
      <c r="C35" s="1" t="s">
        <v>1670</v>
      </c>
      <c r="D35" s="21" t="s">
        <v>279</v>
      </c>
      <c r="E35" s="22" t="s">
        <v>353</v>
      </c>
      <c r="F35" s="1"/>
    </row>
    <row r="36" spans="1:6" x14ac:dyDescent="0.25">
      <c r="A36" s="1" t="s">
        <v>426</v>
      </c>
      <c r="B36" s="1" t="s">
        <v>325</v>
      </c>
      <c r="C36" s="1" t="s">
        <v>1670</v>
      </c>
      <c r="D36" s="19" t="s">
        <v>279</v>
      </c>
      <c r="E36" s="22" t="s">
        <v>353</v>
      </c>
      <c r="F36" s="1"/>
    </row>
    <row r="37" spans="1:6" x14ac:dyDescent="0.25">
      <c r="A37" s="1" t="s">
        <v>696</v>
      </c>
      <c r="B37" s="1" t="s">
        <v>692</v>
      </c>
      <c r="C37" s="1" t="s">
        <v>1668</v>
      </c>
      <c r="D37" s="20"/>
      <c r="E37" s="22" t="s">
        <v>353</v>
      </c>
      <c r="F37" s="1"/>
    </row>
    <row r="38" spans="1:6" x14ac:dyDescent="0.25">
      <c r="A38" s="1" t="s">
        <v>425</v>
      </c>
      <c r="B38" s="1" t="s">
        <v>274</v>
      </c>
      <c r="C38" s="1" t="s">
        <v>1668</v>
      </c>
      <c r="D38" s="1" t="s">
        <v>275</v>
      </c>
      <c r="E38" s="22" t="s">
        <v>353</v>
      </c>
      <c r="F38" s="1"/>
    </row>
    <row r="39" spans="1:6" x14ac:dyDescent="0.25">
      <c r="A39" s="1" t="s">
        <v>421</v>
      </c>
      <c r="B39" s="1" t="s">
        <v>310</v>
      </c>
      <c r="C39" s="1" t="s">
        <v>1670</v>
      </c>
      <c r="D39" s="20" t="s">
        <v>279</v>
      </c>
      <c r="E39" s="59" t="s">
        <v>700</v>
      </c>
      <c r="F39" s="1" t="s">
        <v>701</v>
      </c>
    </row>
    <row r="40" spans="1:6" x14ac:dyDescent="0.25">
      <c r="A40" s="1" t="s">
        <v>1671</v>
      </c>
      <c r="B40" s="372" t="s">
        <v>1672</v>
      </c>
      <c r="C40" s="372" t="s">
        <v>1668</v>
      </c>
      <c r="D40" s="372"/>
      <c r="E40" s="372" t="s">
        <v>353</v>
      </c>
      <c r="F40" s="1"/>
    </row>
    <row r="41" spans="1:6" x14ac:dyDescent="0.25">
      <c r="A41" s="1" t="s">
        <v>418</v>
      </c>
      <c r="B41" s="1" t="s">
        <v>329</v>
      </c>
      <c r="C41" s="1" t="s">
        <v>1668</v>
      </c>
      <c r="D41" s="19" t="s">
        <v>283</v>
      </c>
      <c r="E41" s="22" t="s">
        <v>353</v>
      </c>
      <c r="F41" s="1"/>
    </row>
    <row r="42" spans="1:6" x14ac:dyDescent="0.25">
      <c r="A42" s="1" t="s">
        <v>698</v>
      </c>
      <c r="B42" s="1" t="s">
        <v>699</v>
      </c>
      <c r="C42" s="1" t="s">
        <v>1670</v>
      </c>
      <c r="D42" s="20"/>
      <c r="E42" s="22" t="s">
        <v>353</v>
      </c>
      <c r="F42" s="1"/>
    </row>
    <row r="43" spans="1:6" x14ac:dyDescent="0.25">
      <c r="A43" s="1" t="s">
        <v>412</v>
      </c>
      <c r="B43" s="1" t="s">
        <v>318</v>
      </c>
      <c r="C43" s="1" t="s">
        <v>1668</v>
      </c>
      <c r="D43" s="23" t="s">
        <v>279</v>
      </c>
      <c r="E43" s="22" t="s">
        <v>353</v>
      </c>
      <c r="F43" s="1"/>
    </row>
    <row r="44" spans="1:6" x14ac:dyDescent="0.25">
      <c r="A44" s="1" t="s">
        <v>411</v>
      </c>
      <c r="B44" s="1" t="s">
        <v>302</v>
      </c>
      <c r="C44" s="1" t="s">
        <v>1668</v>
      </c>
      <c r="D44" s="20" t="s">
        <v>279</v>
      </c>
      <c r="E44" s="22" t="s">
        <v>353</v>
      </c>
      <c r="F44" s="1"/>
    </row>
    <row r="45" spans="1:6" x14ac:dyDescent="0.25">
      <c r="A45" s="1" t="s">
        <v>1005</v>
      </c>
      <c r="B45" s="1" t="s">
        <v>1003</v>
      </c>
      <c r="C45" s="1" t="s">
        <v>1668</v>
      </c>
      <c r="D45" s="20" t="s">
        <v>353</v>
      </c>
      <c r="E45" s="22"/>
      <c r="F45" s="1"/>
    </row>
    <row r="46" spans="1:6" x14ac:dyDescent="0.25">
      <c r="A46" s="1" t="s">
        <v>407</v>
      </c>
      <c r="B46" s="1" t="s">
        <v>342</v>
      </c>
      <c r="C46" s="1" t="s">
        <v>1668</v>
      </c>
      <c r="D46" s="19" t="s">
        <v>279</v>
      </c>
      <c r="E46" s="22" t="s">
        <v>353</v>
      </c>
      <c r="F46" s="1"/>
    </row>
    <row r="47" spans="1:6" x14ac:dyDescent="0.25">
      <c r="A47" s="1" t="s">
        <v>406</v>
      </c>
      <c r="B47" s="1" t="s">
        <v>282</v>
      </c>
      <c r="C47" s="1" t="s">
        <v>1669</v>
      </c>
      <c r="D47" s="21" t="s">
        <v>279</v>
      </c>
      <c r="E47" s="22" t="s">
        <v>353</v>
      </c>
      <c r="F47" s="1"/>
    </row>
    <row r="48" spans="1:6" x14ac:dyDescent="0.25">
      <c r="A48" s="1" t="s">
        <v>404</v>
      </c>
      <c r="B48" s="1" t="s">
        <v>341</v>
      </c>
      <c r="C48" s="1" t="s">
        <v>1668</v>
      </c>
      <c r="D48" s="19" t="s">
        <v>283</v>
      </c>
      <c r="E48" s="22" t="s">
        <v>353</v>
      </c>
      <c r="F48" s="1"/>
    </row>
    <row r="49" spans="1:6" x14ac:dyDescent="0.25">
      <c r="A49" s="1" t="s">
        <v>403</v>
      </c>
      <c r="B49" s="1" t="s">
        <v>330</v>
      </c>
      <c r="C49" s="1" t="s">
        <v>1668</v>
      </c>
      <c r="D49" s="20" t="s">
        <v>279</v>
      </c>
      <c r="E49" s="22" t="s">
        <v>700</v>
      </c>
      <c r="F49" s="1"/>
    </row>
    <row r="50" spans="1:6" x14ac:dyDescent="0.25">
      <c r="A50" s="1" t="s">
        <v>402</v>
      </c>
      <c r="B50" s="372" t="s">
        <v>234</v>
      </c>
      <c r="C50" s="1" t="s">
        <v>1668</v>
      </c>
      <c r="D50" s="19" t="s">
        <v>286</v>
      </c>
      <c r="E50" s="22" t="s">
        <v>353</v>
      </c>
      <c r="F50" s="1"/>
    </row>
    <row r="51" spans="1:6" x14ac:dyDescent="0.25">
      <c r="A51" s="1" t="s">
        <v>1652</v>
      </c>
      <c r="B51" s="372" t="s">
        <v>1653</v>
      </c>
      <c r="C51" s="1" t="s">
        <v>1669</v>
      </c>
      <c r="D51" s="19" t="s">
        <v>286</v>
      </c>
      <c r="E51" s="22" t="s">
        <v>353</v>
      </c>
      <c r="F51" s="1"/>
    </row>
    <row r="52" spans="1:6" x14ac:dyDescent="0.25">
      <c r="A52" s="1" t="s">
        <v>401</v>
      </c>
      <c r="B52" s="1" t="s">
        <v>327</v>
      </c>
      <c r="C52" s="1" t="s">
        <v>1669</v>
      </c>
      <c r="D52" s="21" t="s">
        <v>286</v>
      </c>
      <c r="E52" s="28" t="s">
        <v>1732</v>
      </c>
      <c r="F52" s="1"/>
    </row>
    <row r="53" spans="1:6" x14ac:dyDescent="0.25">
      <c r="A53" s="1" t="s">
        <v>397</v>
      </c>
      <c r="B53" s="1" t="s">
        <v>364</v>
      </c>
      <c r="C53" s="1" t="s">
        <v>1670</v>
      </c>
      <c r="D53" s="1" t="s">
        <v>279</v>
      </c>
      <c r="E53" s="22" t="s">
        <v>353</v>
      </c>
      <c r="F53" s="1"/>
    </row>
    <row r="54" spans="1:6" x14ac:dyDescent="0.25">
      <c r="A54" s="1" t="s">
        <v>392</v>
      </c>
      <c r="B54" s="1" t="s">
        <v>276</v>
      </c>
      <c r="C54" s="1" t="s">
        <v>1668</v>
      </c>
      <c r="D54" s="21" t="s">
        <v>277</v>
      </c>
      <c r="E54" s="22" t="s">
        <v>700</v>
      </c>
      <c r="F54" s="1"/>
    </row>
    <row r="55" spans="1:6" x14ac:dyDescent="0.25">
      <c r="A55" s="1" t="s">
        <v>391</v>
      </c>
      <c r="B55" s="1" t="s">
        <v>334</v>
      </c>
      <c r="C55" s="1" t="s">
        <v>1668</v>
      </c>
      <c r="D55" s="88" t="s">
        <v>275</v>
      </c>
      <c r="E55" s="29" t="s">
        <v>353</v>
      </c>
      <c r="F55" s="1"/>
    </row>
    <row r="56" spans="1:6" x14ac:dyDescent="0.25">
      <c r="A56" s="1" t="s">
        <v>390</v>
      </c>
      <c r="B56" s="1" t="s">
        <v>361</v>
      </c>
      <c r="C56" s="1" t="s">
        <v>1668</v>
      </c>
      <c r="D56" s="27" t="s">
        <v>275</v>
      </c>
      <c r="E56" s="22" t="s">
        <v>353</v>
      </c>
      <c r="F56" s="1"/>
    </row>
    <row r="57" spans="1:6" x14ac:dyDescent="0.25">
      <c r="A57" s="1" t="s">
        <v>389</v>
      </c>
      <c r="B57" s="1" t="s">
        <v>320</v>
      </c>
      <c r="C57" s="1" t="s">
        <v>1668</v>
      </c>
      <c r="D57" t="s">
        <v>275</v>
      </c>
      <c r="E57" s="22" t="s">
        <v>353</v>
      </c>
      <c r="F57" s="1"/>
    </row>
    <row r="58" spans="1:6" x14ac:dyDescent="0.25">
      <c r="A58" s="1" t="s">
        <v>388</v>
      </c>
      <c r="B58" s="1" t="s">
        <v>350</v>
      </c>
      <c r="C58" s="1" t="s">
        <v>1670</v>
      </c>
      <c r="D58" s="21" t="s">
        <v>279</v>
      </c>
      <c r="E58" s="28" t="s">
        <v>353</v>
      </c>
      <c r="F58" s="1"/>
    </row>
    <row r="59" spans="1:6" x14ac:dyDescent="0.25">
      <c r="A59" s="1" t="s">
        <v>386</v>
      </c>
      <c r="B59" s="1" t="s">
        <v>335</v>
      </c>
      <c r="C59" s="1" t="s">
        <v>1668</v>
      </c>
      <c r="D59" s="19" t="s">
        <v>279</v>
      </c>
      <c r="E59" s="29" t="s">
        <v>353</v>
      </c>
      <c r="F59" s="1"/>
    </row>
    <row r="60" spans="1:6" x14ac:dyDescent="0.25">
      <c r="A60" s="1" t="s">
        <v>1682</v>
      </c>
      <c r="B60" s="372" t="s">
        <v>1681</v>
      </c>
      <c r="C60" s="372" t="s">
        <v>1668</v>
      </c>
      <c r="D60" s="19"/>
      <c r="E60" s="29" t="s">
        <v>353</v>
      </c>
      <c r="F60" s="1"/>
    </row>
    <row r="61" spans="1:6" x14ac:dyDescent="0.25">
      <c r="A61" s="1"/>
      <c r="B61" s="246" t="s">
        <v>1485</v>
      </c>
      <c r="C61" s="1" t="s">
        <v>1669</v>
      </c>
      <c r="D61" s="19" t="s">
        <v>353</v>
      </c>
      <c r="E61" s="22" t="s">
        <v>353</v>
      </c>
      <c r="F61" s="1"/>
    </row>
    <row r="62" spans="1:6" x14ac:dyDescent="0.25">
      <c r="A62" s="1"/>
      <c r="B62" s="246" t="s">
        <v>1486</v>
      </c>
      <c r="C62" s="1" t="s">
        <v>1669</v>
      </c>
      <c r="D62" s="19" t="s">
        <v>353</v>
      </c>
      <c r="E62" s="22" t="s">
        <v>353</v>
      </c>
      <c r="F62" s="1"/>
    </row>
    <row r="63" spans="1:6" x14ac:dyDescent="0.25">
      <c r="A63" s="1"/>
      <c r="B63" s="246" t="s">
        <v>1487</v>
      </c>
      <c r="C63" s="1" t="s">
        <v>1669</v>
      </c>
      <c r="D63" t="s">
        <v>353</v>
      </c>
      <c r="E63" s="22" t="s">
        <v>353</v>
      </c>
      <c r="F63" s="1"/>
    </row>
    <row r="64" spans="1:6" x14ac:dyDescent="0.25">
      <c r="A64" s="14" t="s">
        <v>486</v>
      </c>
      <c r="B64" s="14" t="s">
        <v>485</v>
      </c>
      <c r="C64" s="14"/>
      <c r="D64" s="14" t="s">
        <v>277</v>
      </c>
      <c r="E64" s="14" t="s">
        <v>561</v>
      </c>
      <c r="F64" s="14"/>
    </row>
    <row r="65" spans="1:6" x14ac:dyDescent="0.25">
      <c r="A65" s="14" t="s">
        <v>480</v>
      </c>
      <c r="B65" s="14" t="s">
        <v>479</v>
      </c>
      <c r="C65" s="14"/>
      <c r="D65" s="14"/>
      <c r="E65" s="14" t="s">
        <v>561</v>
      </c>
      <c r="F65" s="14"/>
    </row>
    <row r="66" spans="1:6" x14ac:dyDescent="0.25">
      <c r="A66" s="14" t="s">
        <v>478</v>
      </c>
      <c r="B66" s="33" t="s">
        <v>491</v>
      </c>
      <c r="C66" s="33"/>
      <c r="D66" s="14"/>
      <c r="E66" s="14" t="s">
        <v>561</v>
      </c>
      <c r="F66" s="14"/>
    </row>
    <row r="67" spans="1:6" x14ac:dyDescent="0.25">
      <c r="A67" s="14" t="s">
        <v>477</v>
      </c>
      <c r="B67" s="14" t="s">
        <v>476</v>
      </c>
      <c r="C67" s="14"/>
      <c r="D67" s="14"/>
      <c r="E67" s="14" t="s">
        <v>561</v>
      </c>
      <c r="F67" s="14"/>
    </row>
    <row r="68" spans="1:6" x14ac:dyDescent="0.25">
      <c r="A68" s="14" t="s">
        <v>472</v>
      </c>
      <c r="B68" s="173" t="s">
        <v>471</v>
      </c>
      <c r="C68" s="173"/>
      <c r="D68" s="14"/>
      <c r="E68" s="14" t="s">
        <v>561</v>
      </c>
      <c r="F68" s="14"/>
    </row>
    <row r="69" spans="1:6" x14ac:dyDescent="0.25">
      <c r="A69" s="14" t="s">
        <v>470</v>
      </c>
      <c r="B69" s="174" t="s">
        <v>469</v>
      </c>
      <c r="C69" s="174"/>
      <c r="D69" s="14"/>
      <c r="E69" s="14" t="s">
        <v>561</v>
      </c>
      <c r="F69" s="14"/>
    </row>
    <row r="70" spans="1:6" x14ac:dyDescent="0.25">
      <c r="A70" s="14" t="s">
        <v>468</v>
      </c>
      <c r="B70" s="14" t="s">
        <v>467</v>
      </c>
      <c r="C70" s="14"/>
      <c r="D70" s="14"/>
      <c r="E70" s="14" t="s">
        <v>561</v>
      </c>
      <c r="F70" s="14"/>
    </row>
    <row r="71" spans="1:6" x14ac:dyDescent="0.25">
      <c r="A71" s="14" t="s">
        <v>466</v>
      </c>
      <c r="B71" s="173" t="s">
        <v>465</v>
      </c>
      <c r="C71" s="173"/>
      <c r="D71" s="14" t="s">
        <v>283</v>
      </c>
      <c r="E71" s="14" t="s">
        <v>561</v>
      </c>
      <c r="F71" s="14"/>
    </row>
    <row r="72" spans="1:6" x14ac:dyDescent="0.25">
      <c r="A72" s="14" t="s">
        <v>464</v>
      </c>
      <c r="B72" s="14" t="s">
        <v>287</v>
      </c>
      <c r="C72" s="14"/>
      <c r="D72" s="14" t="s">
        <v>286</v>
      </c>
      <c r="E72" s="14" t="s">
        <v>561</v>
      </c>
      <c r="F72" s="14" t="s">
        <v>367</v>
      </c>
    </row>
    <row r="73" spans="1:6" x14ac:dyDescent="0.25">
      <c r="A73" s="14" t="s">
        <v>463</v>
      </c>
      <c r="B73" s="33" t="s">
        <v>490</v>
      </c>
      <c r="C73" s="33"/>
      <c r="D73" s="14" t="s">
        <v>279</v>
      </c>
      <c r="E73" s="14" t="s">
        <v>561</v>
      </c>
      <c r="F73" s="14" t="s">
        <v>367</v>
      </c>
    </row>
    <row r="74" spans="1:6" x14ac:dyDescent="0.25">
      <c r="A74" s="14" t="s">
        <v>460</v>
      </c>
      <c r="B74" s="14" t="s">
        <v>459</v>
      </c>
      <c r="C74" s="14"/>
      <c r="D74" s="14"/>
      <c r="E74" s="14" t="s">
        <v>561</v>
      </c>
      <c r="F74" s="14"/>
    </row>
    <row r="75" spans="1:6" x14ac:dyDescent="0.25">
      <c r="A75" s="14" t="s">
        <v>458</v>
      </c>
      <c r="B75" s="33" t="s">
        <v>489</v>
      </c>
      <c r="C75" s="33"/>
      <c r="D75" s="14" t="s">
        <v>283</v>
      </c>
      <c r="E75" s="14" t="s">
        <v>561</v>
      </c>
      <c r="F75" s="14"/>
    </row>
    <row r="76" spans="1:6" x14ac:dyDescent="0.25">
      <c r="A76" s="47" t="s">
        <v>454</v>
      </c>
      <c r="B76" s="47" t="s">
        <v>453</v>
      </c>
      <c r="C76" s="47"/>
      <c r="D76" s="47"/>
      <c r="E76" s="14" t="s">
        <v>561</v>
      </c>
      <c r="F76" s="47"/>
    </row>
    <row r="77" spans="1:6" x14ac:dyDescent="0.25">
      <c r="A77" s="47" t="s">
        <v>1704</v>
      </c>
      <c r="B77" s="422" t="s">
        <v>1705</v>
      </c>
      <c r="C77" s="422"/>
      <c r="D77" s="47"/>
      <c r="E77" s="14" t="s">
        <v>353</v>
      </c>
      <c r="F77" s="47"/>
    </row>
    <row r="78" spans="1:6" x14ac:dyDescent="0.25">
      <c r="A78" s="47" t="s">
        <v>451</v>
      </c>
      <c r="B78" s="47" t="s">
        <v>450</v>
      </c>
      <c r="C78" s="47"/>
      <c r="D78" s="47"/>
      <c r="E78" s="14" t="s">
        <v>561</v>
      </c>
      <c r="F78" s="47"/>
    </row>
    <row r="79" spans="1:6" x14ac:dyDescent="0.25">
      <c r="A79" s="47" t="s">
        <v>447</v>
      </c>
      <c r="B79" s="47" t="s">
        <v>446</v>
      </c>
      <c r="C79" s="47"/>
      <c r="D79" s="47"/>
      <c r="E79" s="14" t="s">
        <v>561</v>
      </c>
      <c r="F79" s="47"/>
    </row>
    <row r="80" spans="1:6" x14ac:dyDescent="0.25">
      <c r="A80" s="47" t="s">
        <v>444</v>
      </c>
      <c r="B80" s="47" t="s">
        <v>443</v>
      </c>
      <c r="C80" s="47"/>
      <c r="D80" s="47"/>
      <c r="E80" s="14" t="s">
        <v>700</v>
      </c>
      <c r="F80" s="47"/>
    </row>
    <row r="81" spans="1:6" x14ac:dyDescent="0.25">
      <c r="A81" s="47" t="s">
        <v>440</v>
      </c>
      <c r="B81" s="47" t="s">
        <v>323</v>
      </c>
      <c r="C81" s="47"/>
      <c r="D81" s="47" t="s">
        <v>279</v>
      </c>
      <c r="E81" s="14" t="s">
        <v>561</v>
      </c>
      <c r="F81" s="47" t="s">
        <v>367</v>
      </c>
    </row>
    <row r="82" spans="1:6" x14ac:dyDescent="0.25">
      <c r="A82" s="47" t="s">
        <v>438</v>
      </c>
      <c r="B82" s="47" t="s">
        <v>437</v>
      </c>
      <c r="C82" s="47"/>
      <c r="D82" s="47"/>
      <c r="E82" s="14" t="s">
        <v>561</v>
      </c>
      <c r="F82" s="47"/>
    </row>
    <row r="83" spans="1:6" x14ac:dyDescent="0.25">
      <c r="A83" s="47" t="s">
        <v>435</v>
      </c>
      <c r="B83" s="47" t="s">
        <v>434</v>
      </c>
      <c r="C83" s="47"/>
      <c r="D83" s="47"/>
      <c r="E83" s="14" t="s">
        <v>561</v>
      </c>
      <c r="F83" s="47"/>
    </row>
    <row r="84" spans="1:6" x14ac:dyDescent="0.25">
      <c r="A84" s="47" t="s">
        <v>431</v>
      </c>
      <c r="B84" s="47" t="s">
        <v>430</v>
      </c>
      <c r="C84" s="47"/>
      <c r="D84" s="47"/>
      <c r="E84" s="14" t="s">
        <v>561</v>
      </c>
      <c r="F84" s="47"/>
    </row>
    <row r="85" spans="1:6" x14ac:dyDescent="0.25">
      <c r="A85" s="47" t="s">
        <v>429</v>
      </c>
      <c r="B85" s="47" t="s">
        <v>428</v>
      </c>
      <c r="C85" s="47"/>
      <c r="D85" s="47"/>
      <c r="E85" s="14" t="s">
        <v>561</v>
      </c>
      <c r="F85" s="47"/>
    </row>
    <row r="86" spans="1:6" x14ac:dyDescent="0.25">
      <c r="A86" s="14" t="s">
        <v>424</v>
      </c>
      <c r="B86" s="14" t="s">
        <v>308</v>
      </c>
      <c r="C86" s="14"/>
      <c r="D86" s="14" t="s">
        <v>283</v>
      </c>
      <c r="E86" s="14" t="s">
        <v>561</v>
      </c>
      <c r="F86" s="14" t="s">
        <v>367</v>
      </c>
    </row>
    <row r="87" spans="1:6" x14ac:dyDescent="0.25">
      <c r="A87" s="14" t="s">
        <v>423</v>
      </c>
      <c r="B87" s="14" t="s">
        <v>422</v>
      </c>
      <c r="C87" s="14"/>
      <c r="D87" s="14"/>
      <c r="E87" s="14" t="s">
        <v>561</v>
      </c>
      <c r="F87" s="14"/>
    </row>
    <row r="88" spans="1:6" x14ac:dyDescent="0.25">
      <c r="A88" s="14" t="s">
        <v>420</v>
      </c>
      <c r="B88" s="14" t="s">
        <v>303</v>
      </c>
      <c r="C88" s="14"/>
      <c r="D88" s="14" t="s">
        <v>279</v>
      </c>
      <c r="E88" s="14" t="s">
        <v>561</v>
      </c>
      <c r="F88" s="14" t="s">
        <v>367</v>
      </c>
    </row>
    <row r="89" spans="1:6" x14ac:dyDescent="0.25">
      <c r="A89" s="14" t="s">
        <v>419</v>
      </c>
      <c r="B89" s="14" t="s">
        <v>311</v>
      </c>
      <c r="C89" s="14"/>
      <c r="D89" s="14" t="s">
        <v>322</v>
      </c>
      <c r="E89" s="14" t="s">
        <v>561</v>
      </c>
      <c r="F89" s="14"/>
    </row>
    <row r="90" spans="1:6" x14ac:dyDescent="0.25">
      <c r="A90" s="14" t="s">
        <v>417</v>
      </c>
      <c r="B90" s="14" t="s">
        <v>416</v>
      </c>
      <c r="C90" s="14"/>
      <c r="D90" s="14"/>
      <c r="E90" s="14" t="s">
        <v>561</v>
      </c>
      <c r="F90" s="14"/>
    </row>
    <row r="91" spans="1:6" x14ac:dyDescent="0.25">
      <c r="A91" s="14" t="s">
        <v>415</v>
      </c>
      <c r="B91" s="33" t="s">
        <v>488</v>
      </c>
      <c r="C91" s="33"/>
      <c r="D91" s="14" t="s">
        <v>275</v>
      </c>
      <c r="E91" s="14" t="s">
        <v>561</v>
      </c>
      <c r="F91" s="14" t="s">
        <v>367</v>
      </c>
    </row>
    <row r="92" spans="1:6" x14ac:dyDescent="0.25">
      <c r="A92" s="14" t="s">
        <v>414</v>
      </c>
      <c r="B92" s="14" t="s">
        <v>413</v>
      </c>
      <c r="C92" s="14"/>
      <c r="D92" s="14" t="s">
        <v>277</v>
      </c>
      <c r="E92" s="14" t="s">
        <v>561</v>
      </c>
      <c r="F92" s="14"/>
    </row>
    <row r="93" spans="1:6" x14ac:dyDescent="0.25">
      <c r="A93" s="14" t="s">
        <v>410</v>
      </c>
      <c r="B93" s="14" t="s">
        <v>409</v>
      </c>
      <c r="C93" s="14"/>
      <c r="D93" s="14" t="s">
        <v>283</v>
      </c>
      <c r="E93" s="14" t="s">
        <v>561</v>
      </c>
      <c r="F93" s="14"/>
    </row>
    <row r="94" spans="1:6" x14ac:dyDescent="0.25">
      <c r="A94" s="14" t="s">
        <v>405</v>
      </c>
      <c r="B94" s="14" t="s">
        <v>312</v>
      </c>
      <c r="C94" s="14"/>
      <c r="D94" s="14" t="s">
        <v>283</v>
      </c>
      <c r="E94" s="14" t="s">
        <v>561</v>
      </c>
      <c r="F94" s="14" t="s">
        <v>367</v>
      </c>
    </row>
    <row r="95" spans="1:6" x14ac:dyDescent="0.25">
      <c r="A95" s="14" t="s">
        <v>399</v>
      </c>
      <c r="B95" s="14" t="s">
        <v>398</v>
      </c>
      <c r="C95" s="14"/>
      <c r="D95" s="14"/>
      <c r="E95" s="14" t="s">
        <v>561</v>
      </c>
      <c r="F95" s="14"/>
    </row>
    <row r="96" spans="1:6" x14ac:dyDescent="0.25">
      <c r="A96" s="14" t="s">
        <v>396</v>
      </c>
      <c r="B96" s="14" t="s">
        <v>395</v>
      </c>
      <c r="C96" s="14"/>
      <c r="D96" s="14"/>
      <c r="E96" s="14" t="s">
        <v>561</v>
      </c>
      <c r="F96" s="14"/>
    </row>
    <row r="97" spans="1:6" x14ac:dyDescent="0.25">
      <c r="A97" s="14" t="s">
        <v>394</v>
      </c>
      <c r="B97" s="14" t="s">
        <v>393</v>
      </c>
      <c r="C97" s="14"/>
      <c r="D97" s="14"/>
      <c r="E97" s="14" t="s">
        <v>561</v>
      </c>
      <c r="F97" s="14"/>
    </row>
    <row r="98" spans="1:6" x14ac:dyDescent="0.25">
      <c r="A98" s="14" t="s">
        <v>757</v>
      </c>
      <c r="B98" s="14" t="s">
        <v>328</v>
      </c>
      <c r="C98" s="14"/>
      <c r="D98" s="14" t="s">
        <v>279</v>
      </c>
      <c r="E98" s="14" t="s">
        <v>700</v>
      </c>
      <c r="F98" s="14"/>
    </row>
    <row r="99" spans="1:6" x14ac:dyDescent="0.25">
      <c r="A99" s="22" t="s">
        <v>455</v>
      </c>
      <c r="B99" s="22" t="s">
        <v>494</v>
      </c>
      <c r="C99" s="22"/>
      <c r="D99" s="22" t="s">
        <v>493</v>
      </c>
      <c r="E99" s="22" t="s">
        <v>493</v>
      </c>
      <c r="F99" s="22" t="s">
        <v>493</v>
      </c>
    </row>
    <row r="100" spans="1:6" x14ac:dyDescent="0.25">
      <c r="A100" s="22" t="s">
        <v>408</v>
      </c>
      <c r="B100" s="22" t="s">
        <v>563</v>
      </c>
      <c r="C100" s="22"/>
      <c r="D100" s="22" t="s">
        <v>493</v>
      </c>
      <c r="E100" s="22" t="s">
        <v>493</v>
      </c>
      <c r="F100" s="22" t="s">
        <v>493</v>
      </c>
    </row>
    <row r="101" spans="1:6" x14ac:dyDescent="0.25">
      <c r="A101" s="22" t="s">
        <v>400</v>
      </c>
      <c r="B101" s="22" t="s">
        <v>564</v>
      </c>
      <c r="C101" s="22"/>
      <c r="D101" s="22" t="s">
        <v>493</v>
      </c>
      <c r="E101" s="22" t="s">
        <v>493</v>
      </c>
      <c r="F101" s="22" t="s">
        <v>493</v>
      </c>
    </row>
    <row r="102" spans="1:6" x14ac:dyDescent="0.25">
      <c r="A102" s="22" t="s">
        <v>387</v>
      </c>
      <c r="B102" s="22" t="s">
        <v>495</v>
      </c>
      <c r="C102" s="22"/>
      <c r="D102" s="22" t="s">
        <v>493</v>
      </c>
      <c r="E102" s="22" t="s">
        <v>493</v>
      </c>
      <c r="F102" s="22" t="s">
        <v>493</v>
      </c>
    </row>
    <row r="103" spans="1:6" x14ac:dyDescent="0.25">
      <c r="A103" s="1" t="s">
        <v>1608</v>
      </c>
      <c r="B103" s="329" t="s">
        <v>1607</v>
      </c>
      <c r="C103" s="329"/>
      <c r="D103" s="1" t="s">
        <v>493</v>
      </c>
      <c r="E103" s="1" t="s">
        <v>493</v>
      </c>
      <c r="F103" s="1" t="s">
        <v>493</v>
      </c>
    </row>
    <row r="104" spans="1:6" x14ac:dyDescent="0.25">
      <c r="A104" s="1"/>
      <c r="B104" s="1"/>
      <c r="C104" s="1"/>
      <c r="D104" s="1"/>
      <c r="E104" s="1"/>
      <c r="F104" s="1"/>
    </row>
    <row r="105" spans="1:6" x14ac:dyDescent="0.25">
      <c r="A105" s="1" t="s">
        <v>448</v>
      </c>
      <c r="B105" s="372" t="s">
        <v>1664</v>
      </c>
      <c r="C105" s="372"/>
      <c r="D105" s="1"/>
      <c r="E105" s="1" t="s">
        <v>353</v>
      </c>
      <c r="F105" s="1" t="s">
        <v>1658</v>
      </c>
    </row>
    <row r="106" spans="1:6" x14ac:dyDescent="0.25">
      <c r="A106" s="1" t="s">
        <v>439</v>
      </c>
      <c r="B106" s="372" t="s">
        <v>1662</v>
      </c>
      <c r="C106" s="372"/>
      <c r="D106" s="1"/>
      <c r="E106" s="1" t="s">
        <v>353</v>
      </c>
      <c r="F106" s="1" t="s">
        <v>1658</v>
      </c>
    </row>
    <row r="107" spans="1:6" x14ac:dyDescent="0.25">
      <c r="A107" s="1" t="s">
        <v>1659</v>
      </c>
      <c r="B107" s="372" t="s">
        <v>1663</v>
      </c>
      <c r="C107" s="372"/>
      <c r="D107" s="1"/>
      <c r="E107" s="1" t="s">
        <v>353</v>
      </c>
      <c r="F107" s="1" t="s">
        <v>1658</v>
      </c>
    </row>
    <row r="108" spans="1:6" x14ac:dyDescent="0.25">
      <c r="A108" s="1" t="s">
        <v>696</v>
      </c>
      <c r="B108" s="372" t="s">
        <v>1661</v>
      </c>
      <c r="C108" s="372"/>
      <c r="D108" s="1"/>
      <c r="E108" s="1" t="s">
        <v>353</v>
      </c>
      <c r="F108" s="1" t="s">
        <v>1658</v>
      </c>
    </row>
    <row r="109" spans="1:6" x14ac:dyDescent="0.25">
      <c r="A109" s="1" t="s">
        <v>432</v>
      </c>
      <c r="B109" s="372" t="s">
        <v>1660</v>
      </c>
      <c r="C109" s="372"/>
      <c r="D109" s="1"/>
      <c r="E109" s="1" t="s">
        <v>353</v>
      </c>
      <c r="F109" s="1" t="s">
        <v>1658</v>
      </c>
    </row>
    <row r="110" spans="1:6" x14ac:dyDescent="0.25">
      <c r="A110" s="1" t="s">
        <v>1719</v>
      </c>
      <c r="B110" s="372" t="s">
        <v>1697</v>
      </c>
      <c r="C110" s="372"/>
      <c r="D110" s="1"/>
      <c r="E110" s="1" t="s">
        <v>353</v>
      </c>
      <c r="F110" s="1"/>
    </row>
    <row r="111" spans="1:6" x14ac:dyDescent="0.25">
      <c r="A111" s="1" t="s">
        <v>1706</v>
      </c>
      <c r="B111" s="372" t="s">
        <v>1713</v>
      </c>
      <c r="C111" s="372"/>
      <c r="D111" s="1"/>
      <c r="E111" s="1" t="s">
        <v>700</v>
      </c>
      <c r="F111" s="1"/>
    </row>
    <row r="112" spans="1:6" x14ac:dyDescent="0.25">
      <c r="A112" s="1" t="s">
        <v>1708</v>
      </c>
      <c r="B112" s="372" t="s">
        <v>1707</v>
      </c>
      <c r="C112" s="372"/>
      <c r="D112" s="1"/>
      <c r="E112" s="1" t="s">
        <v>1732</v>
      </c>
      <c r="F112" s="1"/>
    </row>
    <row r="113" spans="1:6" x14ac:dyDescent="0.25">
      <c r="A113" s="1" t="s">
        <v>566</v>
      </c>
      <c r="B113" s="372" t="s">
        <v>675</v>
      </c>
      <c r="C113" s="372"/>
      <c r="D113" s="1"/>
      <c r="E113" s="1" t="s">
        <v>1732</v>
      </c>
      <c r="F113" s="1"/>
    </row>
    <row r="114" spans="1:6" x14ac:dyDescent="0.25">
      <c r="A114" s="1" t="s">
        <v>1733</v>
      </c>
      <c r="B114" s="372" t="s">
        <v>1734</v>
      </c>
      <c r="C114" s="372"/>
      <c r="D114" s="1"/>
      <c r="E114" s="1" t="s">
        <v>353</v>
      </c>
      <c r="F114" s="1"/>
    </row>
    <row r="115" spans="1:6" x14ac:dyDescent="0.25">
      <c r="A115" s="1" t="s">
        <v>429</v>
      </c>
      <c r="B115" s="372" t="s">
        <v>1029</v>
      </c>
      <c r="C115" s="372"/>
      <c r="D115" s="1"/>
      <c r="E115" s="1" t="s">
        <v>700</v>
      </c>
      <c r="F115" s="1"/>
    </row>
    <row r="116" spans="1:6" x14ac:dyDescent="0.25">
      <c r="A116" s="1" t="s">
        <v>1735</v>
      </c>
      <c r="B116" s="1" t="s">
        <v>1736</v>
      </c>
      <c r="C116" s="372"/>
      <c r="D116" s="1"/>
      <c r="E116" s="1" t="s">
        <v>1732</v>
      </c>
      <c r="F116" s="1"/>
    </row>
    <row r="117" spans="1:6" x14ac:dyDescent="0.25">
      <c r="A117" s="1" t="s">
        <v>442</v>
      </c>
      <c r="B117" s="372" t="s">
        <v>1755</v>
      </c>
      <c r="C117" s="372"/>
      <c r="D117" s="1"/>
      <c r="E117" s="1" t="s">
        <v>353</v>
      </c>
      <c r="F117" s="1"/>
    </row>
    <row r="118" spans="1:6" x14ac:dyDescent="0.25">
      <c r="A118" s="1" t="s">
        <v>1756</v>
      </c>
      <c r="B118" s="1" t="s">
        <v>1757</v>
      </c>
      <c r="C118" s="372"/>
      <c r="D118" s="1"/>
      <c r="E118" s="1" t="s">
        <v>353</v>
      </c>
      <c r="F118" s="1"/>
    </row>
    <row r="119" spans="1:6" x14ac:dyDescent="0.25">
      <c r="A119" s="1" t="s">
        <v>1758</v>
      </c>
      <c r="B119" s="1" t="s">
        <v>1759</v>
      </c>
      <c r="C119" s="372"/>
      <c r="D119" s="1"/>
      <c r="E119" s="1" t="s">
        <v>353</v>
      </c>
      <c r="F119" s="1"/>
    </row>
  </sheetData>
  <mergeCells count="1">
    <mergeCell ref="A1:F1"/>
  </mergeCells>
  <phoneticPr fontId="5" type="noConversion"/>
  <hyperlinks>
    <hyperlink ref="B68" r:id="rId1" xr:uid="{6B261110-12C7-4A88-9212-1E62183D312C}"/>
    <hyperlink ref="B69" r:id="rId2" xr:uid="{42346697-597A-4BB8-B01D-597216BCCE39}"/>
    <hyperlink ref="B61" r:id="rId3" xr:uid="{BB1D18CC-D649-4867-B5B4-0EB41B072F17}"/>
    <hyperlink ref="B62" r:id="rId4" xr:uid="{682FA889-F4E6-4E92-828B-9D6A80E33EA1}"/>
    <hyperlink ref="B63" r:id="rId5" xr:uid="{F22FCECD-7987-4503-82E3-4365A3BA2C1A}"/>
    <hyperlink ref="B30" r:id="rId6" xr:uid="{11C788FC-82A1-47E5-869A-E7CB4E3DD2EB}"/>
    <hyperlink ref="B31" r:id="rId7" xr:uid="{23BE5DFB-C96C-4299-A679-A7D21239CCB9}"/>
    <hyperlink ref="B71" r:id="rId8" xr:uid="{83DA34DC-5556-447A-B315-6EEE6062DA76}"/>
    <hyperlink ref="B12" r:id="rId9" xr:uid="{E44DCF0B-15DA-4819-AC2A-1EF565A6DB36}"/>
    <hyperlink ref="B51" r:id="rId10" xr:uid="{D0273263-DB58-4CF0-92C8-EEC312FF5850}"/>
    <hyperlink ref="B5" r:id="rId11" display="mailto:representante.macae@gmr.com.br" xr:uid="{5F0760C5-370F-431C-A639-36673FBBC1DE}"/>
    <hyperlink ref="B109" r:id="rId12" xr:uid="{C5727DBA-92F5-4D0E-BB16-3DF4C54B4979}"/>
    <hyperlink ref="B108" r:id="rId13" xr:uid="{92B2B0D9-1AD4-42A5-8CA3-FE338BB53FDA}"/>
    <hyperlink ref="B106" r:id="rId14" xr:uid="{60A743FA-DE70-447D-A477-ABC16A54466D}"/>
    <hyperlink ref="B107" r:id="rId15" xr:uid="{AFDD2690-4CFB-4E88-AB4B-8C26F8BC15B5}"/>
    <hyperlink ref="B105" r:id="rId16" xr:uid="{8120399B-3F99-4D9B-A8A6-95CC5DE9080A}"/>
    <hyperlink ref="B4" r:id="rId17" xr:uid="{10110DC5-898A-4298-9A13-4444FB50C704}"/>
    <hyperlink ref="B40" r:id="rId18" xr:uid="{84BDB29D-6FD4-4DBD-85F0-736AD7FA70BE}"/>
    <hyperlink ref="B19" r:id="rId19" xr:uid="{0553CC26-192E-47DF-A00E-9C8FA7C3DF2B}"/>
    <hyperlink ref="B60" r:id="rId20" xr:uid="{4D3D6B25-E890-4397-9A9F-FCA9DED5BEE2}"/>
    <hyperlink ref="D3" r:id="rId21" xr:uid="{DA8CA2C1-5754-4435-BA16-608291CD2096}"/>
    <hyperlink ref="B16" r:id="rId22" xr:uid="{DBB49ED4-87B6-49AE-A2C1-5EED4516F9DC}"/>
    <hyperlink ref="B110" r:id="rId23" xr:uid="{A67C2E48-6F9B-48C8-ABDB-AE718A15F8A7}"/>
    <hyperlink ref="B77" r:id="rId24" xr:uid="{9E3AFF8C-9D9A-4DF7-9EB1-C038AF323317}"/>
    <hyperlink ref="B111" r:id="rId25" xr:uid="{5CA0CF32-45AA-42B7-A299-E83FA9444A77}"/>
    <hyperlink ref="B112" r:id="rId26" xr:uid="{BB670C7C-E37B-493D-8CAE-AFEF0121189A}"/>
    <hyperlink ref="B50" r:id="rId27" xr:uid="{99DF4868-F998-4F8F-9BA5-4ACACAC41D7D}"/>
    <hyperlink ref="B113" r:id="rId28" xr:uid="{CC9F20AD-3271-48D9-9097-FE96B8A0D6C5}"/>
    <hyperlink ref="B114" r:id="rId29" xr:uid="{080296AF-D464-4602-93CD-3D27BAA17212}"/>
    <hyperlink ref="B115" r:id="rId30" xr:uid="{A600315D-664D-4A99-A038-67C797F27076}"/>
    <hyperlink ref="B117" r:id="rId31" xr:uid="{5F81C037-7FEC-4510-87F0-3591478CFEE5}"/>
  </hyperlinks>
  <pageMargins left="0.511811024" right="0.511811024" top="0.78740157499999996" bottom="0.78740157499999996" header="0.31496062000000002" footer="0.31496062000000002"/>
  <pageSetup paperSize="9" orientation="portrait" verticalDpi="300" r:id="rId32"/>
  <tableParts count="1">
    <tablePart r:id="rId3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81BB5-39BC-4530-9BCC-C3A5B74FAFCC}">
  <dimension ref="B2:D15"/>
  <sheetViews>
    <sheetView workbookViewId="0">
      <selection activeCell="C20" sqref="C20"/>
    </sheetView>
  </sheetViews>
  <sheetFormatPr defaultRowHeight="15" x14ac:dyDescent="0.25"/>
  <cols>
    <col min="2" max="2" width="46" bestFit="1" customWidth="1"/>
    <col min="3" max="3" width="110" bestFit="1" customWidth="1"/>
    <col min="4" max="4" width="34" bestFit="1" customWidth="1"/>
  </cols>
  <sheetData>
    <row r="2" spans="2:4" x14ac:dyDescent="0.25">
      <c r="B2" t="s">
        <v>1580</v>
      </c>
    </row>
    <row r="3" spans="2:4" x14ac:dyDescent="0.25">
      <c r="B3" t="s">
        <v>1581</v>
      </c>
      <c r="C3" t="s">
        <v>1582</v>
      </c>
    </row>
    <row r="4" spans="2:4" x14ac:dyDescent="0.25">
      <c r="B4" t="s">
        <v>1583</v>
      </c>
    </row>
    <row r="5" spans="2:4" x14ac:dyDescent="0.25">
      <c r="B5" t="s">
        <v>1584</v>
      </c>
      <c r="C5" t="s">
        <v>1585</v>
      </c>
    </row>
    <row r="6" spans="2:4" x14ac:dyDescent="0.25">
      <c r="B6" t="s">
        <v>1590</v>
      </c>
      <c r="C6" t="s">
        <v>1589</v>
      </c>
    </row>
    <row r="7" spans="2:4" x14ac:dyDescent="0.25">
      <c r="B7" t="s">
        <v>1596</v>
      </c>
      <c r="C7" s="328" t="s">
        <v>1597</v>
      </c>
      <c r="D7" t="s">
        <v>1598</v>
      </c>
    </row>
    <row r="8" spans="2:4" x14ac:dyDescent="0.25">
      <c r="B8" t="s">
        <v>1592</v>
      </c>
      <c r="C8" t="s">
        <v>1591</v>
      </c>
    </row>
    <row r="9" spans="2:4" x14ac:dyDescent="0.25">
      <c r="B9" t="s">
        <v>1594</v>
      </c>
      <c r="C9" s="328" t="s">
        <v>1593</v>
      </c>
    </row>
    <row r="10" spans="2:4" x14ac:dyDescent="0.25">
      <c r="B10" t="s">
        <v>1595</v>
      </c>
      <c r="C10" s="328" t="s">
        <v>1599</v>
      </c>
    </row>
    <row r="11" spans="2:4" x14ac:dyDescent="0.25">
      <c r="B11" t="s">
        <v>1601</v>
      </c>
      <c r="C11" s="328" t="s">
        <v>1600</v>
      </c>
    </row>
    <row r="12" spans="2:4" x14ac:dyDescent="0.25">
      <c r="B12" t="s">
        <v>1603</v>
      </c>
      <c r="C12" s="328" t="s">
        <v>1602</v>
      </c>
    </row>
    <row r="13" spans="2:4" x14ac:dyDescent="0.25">
      <c r="B13" t="s">
        <v>1604</v>
      </c>
      <c r="C13" s="328" t="s">
        <v>1605</v>
      </c>
    </row>
    <row r="14" spans="2:4" x14ac:dyDescent="0.25">
      <c r="B14" t="s">
        <v>1587</v>
      </c>
      <c r="C14" s="328" t="s">
        <v>1586</v>
      </c>
      <c r="D14" t="s">
        <v>1606</v>
      </c>
    </row>
    <row r="15" spans="2:4" x14ac:dyDescent="0.25">
      <c r="B15" t="s">
        <v>1588</v>
      </c>
    </row>
  </sheetData>
  <hyperlinks>
    <hyperlink ref="C14" r:id="rId1" xr:uid="{C62C5D71-5D64-4070-BF80-FB57694E5E6C}"/>
    <hyperlink ref="C7" r:id="rId2" xr:uid="{86A20891-37CB-42CD-8658-1CE871539C32}"/>
    <hyperlink ref="C10" r:id="rId3" xr:uid="{6EEE323E-2EB3-42AF-999F-0E76D0E7FA45}"/>
    <hyperlink ref="C11" r:id="rId4" xr:uid="{F69AA568-F2D1-4D99-B522-2ABDAECDCA01}"/>
    <hyperlink ref="C12" r:id="rId5" xr:uid="{E90CCE1A-4310-480D-8E77-A3462A319828}"/>
    <hyperlink ref="C13" r:id="rId6" xr:uid="{C2C002CA-6917-4ADC-AF92-532851A8C684}"/>
    <hyperlink ref="C9" r:id="rId7" xr:uid="{7EEB1D5D-94ED-44DF-A86D-D7587E3984C0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DD5824-ABD5-49C1-8D72-8520B400D6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INVENTÁRIO PC</vt:lpstr>
      <vt:lpstr>VOIP</vt:lpstr>
      <vt:lpstr>NOVOS PONTOS</vt:lpstr>
      <vt:lpstr>WHATSAPP</vt:lpstr>
      <vt:lpstr>CELULARES CLARO</vt:lpstr>
      <vt:lpstr>TONER</vt:lpstr>
      <vt:lpstr>Planilha1</vt:lpstr>
      <vt:lpstr>IP's</vt:lpstr>
      <vt:lpstr>IP's - 2</vt:lpstr>
      <vt:lpstr>Planilha4</vt:lpstr>
      <vt:lpstr>IMPRESSORAS</vt:lpstr>
      <vt:lpstr>OFFICE LICENÇAS</vt:lpstr>
      <vt:lpstr>E-MAILS</vt:lpstr>
      <vt:lpstr>CHECKLIST 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Azevedo</dc:creator>
  <cp:lastModifiedBy>Suporte-TI</cp:lastModifiedBy>
  <cp:lastPrinted>2022-07-06T17:38:04Z</cp:lastPrinted>
  <dcterms:created xsi:type="dcterms:W3CDTF">2019-02-04T09:56:08Z</dcterms:created>
  <dcterms:modified xsi:type="dcterms:W3CDTF">2024-08-14T13:16:40Z</dcterms:modified>
</cp:coreProperties>
</file>